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GIRI VELAN\Desktop\"/>
    </mc:Choice>
  </mc:AlternateContent>
  <xr:revisionPtr revIDLastSave="0" documentId="13_ncr:1_{8E47ACCA-030C-41AB-BD22-D74D8285FE84}" xr6:coauthVersionLast="36" xr6:coauthVersionMax="36" xr10:uidLastSave="{00000000-0000-0000-0000-000000000000}"/>
  <bookViews>
    <workbookView xWindow="0" yWindow="0" windowWidth="25200" windowHeight="11775" activeTab="3" xr2:uid="{BB8EE719-B5B0-48CC-BB9E-376F59105B65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R2" i="4" l="1"/>
  <c r="S2" i="4"/>
  <c r="Q2" i="4" l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P10" i="3" l="1"/>
  <c r="P13" i="3"/>
  <c r="P12" i="3"/>
  <c r="P11" i="3"/>
  <c r="P9" i="3"/>
  <c r="P6" i="3"/>
  <c r="P5" i="3"/>
  <c r="P4" i="3"/>
  <c r="P3" i="3"/>
  <c r="P2" i="3"/>
  <c r="E245" i="1" l="1"/>
  <c r="E243" i="1"/>
  <c r="E237" i="1"/>
</calcChain>
</file>

<file path=xl/sharedStrings.xml><?xml version="1.0" encoding="utf-8"?>
<sst xmlns="http://schemas.openxmlformats.org/spreadsheetml/2006/main" count="2176" uniqueCount="659">
  <si>
    <t>United Kingdom</t>
  </si>
  <si>
    <t>Northern Europe</t>
  </si>
  <si>
    <t>Technology</t>
  </si>
  <si>
    <t>Tables</t>
  </si>
  <si>
    <t>Medium</t>
  </si>
  <si>
    <t>United States</t>
  </si>
  <si>
    <t>Eastern US</t>
  </si>
  <si>
    <t>Binders</t>
  </si>
  <si>
    <t>High</t>
  </si>
  <si>
    <t>Monica Federle</t>
  </si>
  <si>
    <t>Office Supplies</t>
  </si>
  <si>
    <t>Copiers</t>
  </si>
  <si>
    <t>France</t>
  </si>
  <si>
    <t>Western Europe</t>
  </si>
  <si>
    <t>Furniture</t>
  </si>
  <si>
    <t>Storage</t>
  </si>
  <si>
    <t>Australia</t>
  </si>
  <si>
    <t>Oceania</t>
  </si>
  <si>
    <t>Chairs</t>
  </si>
  <si>
    <t>5/16/15 0:00</t>
  </si>
  <si>
    <t>Germany</t>
  </si>
  <si>
    <t>Bookcases</t>
  </si>
  <si>
    <t>Accessories</t>
  </si>
  <si>
    <t>5/28/13 0:00</t>
  </si>
  <si>
    <t>Appliances</t>
  </si>
  <si>
    <t>Low</t>
  </si>
  <si>
    <t>Eastern Africa</t>
  </si>
  <si>
    <t>Critical</t>
  </si>
  <si>
    <t>Central Africa</t>
  </si>
  <si>
    <t>Caribbean</t>
  </si>
  <si>
    <t>Western Asia</t>
  </si>
  <si>
    <t>Phones</t>
  </si>
  <si>
    <t>Eastern Europe</t>
  </si>
  <si>
    <t>Ukraine</t>
  </si>
  <si>
    <t>Southern Asia</t>
  </si>
  <si>
    <t>South America</t>
  </si>
  <si>
    <t>12/26/13 0:00</t>
  </si>
  <si>
    <t>Chad McGuire</t>
  </si>
  <si>
    <t>India</t>
  </si>
  <si>
    <t>Western US</t>
  </si>
  <si>
    <t>North Africa</t>
  </si>
  <si>
    <t>Ritsa Hightower</t>
  </si>
  <si>
    <t>Philippines</t>
  </si>
  <si>
    <t>Southeastern Asia</t>
  </si>
  <si>
    <t>2/15/12 0:00</t>
  </si>
  <si>
    <t>John Huston</t>
  </si>
  <si>
    <t>12/19/12 0:00</t>
  </si>
  <si>
    <t>Bangladesh</t>
  </si>
  <si>
    <t>Machines</t>
  </si>
  <si>
    <t>11/14/15 0:00</t>
  </si>
  <si>
    <t>China</t>
  </si>
  <si>
    <t>Eastern Asia</t>
  </si>
  <si>
    <t>Central US</t>
  </si>
  <si>
    <t>Furniutre</t>
  </si>
  <si>
    <t>Italy</t>
  </si>
  <si>
    <t>missing</t>
  </si>
  <si>
    <t>Russia</t>
  </si>
  <si>
    <t>0.0unknown</t>
  </si>
  <si>
    <t>6/14/13 0:00</t>
  </si>
  <si>
    <t>Saudi Arabia</t>
  </si>
  <si>
    <t>Mexico</t>
  </si>
  <si>
    <t>Central America</t>
  </si>
  <si>
    <t>Alex Grayson</t>
  </si>
  <si>
    <t>5/13/15 0:00</t>
  </si>
  <si>
    <t>2/27/14 0:00</t>
  </si>
  <si>
    <t>Office_Supplies</t>
  </si>
  <si>
    <t>Spain</t>
  </si>
  <si>
    <t>Southern Europe</t>
  </si>
  <si>
    <t>Phillip Breyer</t>
  </si>
  <si>
    <t>Thailand</t>
  </si>
  <si>
    <t>5/31/13 0:00</t>
  </si>
  <si>
    <t>Alan Schoenberger</t>
  </si>
  <si>
    <t>New Zealand</t>
  </si>
  <si>
    <t>Bobby Elias</t>
  </si>
  <si>
    <t>Indonesia</t>
  </si>
  <si>
    <t>11/24/14 0:00</t>
  </si>
  <si>
    <t>8/22/14 0:00</t>
  </si>
  <si>
    <t>Scot Wooten</t>
  </si>
  <si>
    <t>South Africa</t>
  </si>
  <si>
    <t>Southern Africa</t>
  </si>
  <si>
    <t>11/25/14 0:00</t>
  </si>
  <si>
    <t>Technoolgy</t>
  </si>
  <si>
    <t>8/15/12 0:00</t>
  </si>
  <si>
    <t>Christine Phan</t>
  </si>
  <si>
    <t>Morocco</t>
  </si>
  <si>
    <t>Southern US</t>
  </si>
  <si>
    <t>Natalie Fritzler</t>
  </si>
  <si>
    <t>WESTERN US</t>
  </si>
  <si>
    <t>8/28/15 0:00</t>
  </si>
  <si>
    <t>9/27/14 0:00</t>
  </si>
  <si>
    <t>9/28/14 0:00</t>
  </si>
  <si>
    <t>Berenike Kampe</t>
  </si>
  <si>
    <t>9/13/12 0:00</t>
  </si>
  <si>
    <t>High#</t>
  </si>
  <si>
    <t>Brazil</t>
  </si>
  <si>
    <t>9/14/15 0:00</t>
  </si>
  <si>
    <t>12/26/12 0:00</t>
  </si>
  <si>
    <t>6/15/14 0:00</t>
  </si>
  <si>
    <t>Netherlands</t>
  </si>
  <si>
    <t>12/20/15 0:00</t>
  </si>
  <si>
    <t>12/27/12 0:00</t>
  </si>
  <si>
    <t>12/31/12 0:00</t>
  </si>
  <si>
    <t>Mick Hernandez</t>
  </si>
  <si>
    <t>Bill Eplett</t>
  </si>
  <si>
    <t>Medium#</t>
  </si>
  <si>
    <t>11/28/14 0:00</t>
  </si>
  <si>
    <t>10/31/15 0:00</t>
  </si>
  <si>
    <t>Canada</t>
  </si>
  <si>
    <t>6/17/13 0:00</t>
  </si>
  <si>
    <t>12/31/13 0:00</t>
  </si>
  <si>
    <t>9/21/14 0:00</t>
  </si>
  <si>
    <t>3/19/14 0:00</t>
  </si>
  <si>
    <t>32/13/2020</t>
  </si>
  <si>
    <t>El Salvador</t>
  </si>
  <si>
    <t>Guatemala</t>
  </si>
  <si>
    <t>Iran</t>
  </si>
  <si>
    <t>Laura Armstrong</t>
  </si>
  <si>
    <t>Tanzania</t>
  </si>
  <si>
    <t>7/26/12 0:00</t>
  </si>
  <si>
    <t>Benjamin Patterson</t>
  </si>
  <si>
    <t>11/28/15 0:00</t>
  </si>
  <si>
    <t>9/22/15 0:00</t>
  </si>
  <si>
    <t>11/29/14 0:00</t>
  </si>
  <si>
    <t>Mitch Webber</t>
  </si>
  <si>
    <t>Democratic Republic of the Congo</t>
  </si>
  <si>
    <t>Office Supplies#</t>
  </si>
  <si>
    <t>9/18/13 0:00</t>
  </si>
  <si>
    <t>WESTERN EUROPE</t>
  </si>
  <si>
    <t>12/13/15 0:00</t>
  </si>
  <si>
    <t>9/17/15 0:00</t>
  </si>
  <si>
    <t>9/16/14 0:00</t>
  </si>
  <si>
    <t>Maria Zettner</t>
  </si>
  <si>
    <t>Ecuador</t>
  </si>
  <si>
    <t>8/16/12 0:00</t>
  </si>
  <si>
    <t>Andrew Allen</t>
  </si>
  <si>
    <t>Magdelene Morse</t>
  </si>
  <si>
    <t>8/27/14 0:00</t>
  </si>
  <si>
    <t>11/20/15 0:00</t>
  </si>
  <si>
    <t>11/22/15 0:00</t>
  </si>
  <si>
    <t>Daniel Raglin</t>
  </si>
  <si>
    <t>2/25/12 0:00</t>
  </si>
  <si>
    <t>5/22/15 0:00</t>
  </si>
  <si>
    <t>Don Jones</t>
  </si>
  <si>
    <t>5/25/13 0:00</t>
  </si>
  <si>
    <t>Nicaragua</t>
  </si>
  <si>
    <t>9/22/12 0:00</t>
  </si>
  <si>
    <t>Dominican Republic</t>
  </si>
  <si>
    <t>11/28/13 0:00</t>
  </si>
  <si>
    <t>Mary Zewe</t>
  </si>
  <si>
    <t>Western Africa</t>
  </si>
  <si>
    <t>6/16/12 0:00</t>
  </si>
  <si>
    <t>6/18/12 0:00</t>
  </si>
  <si>
    <t>Sean O'Donnell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</si>
  <si>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</si>
  <si>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</si>
  <si>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</si>
  <si>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</si>
  <si>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</si>
  <si>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</si>
  <si>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</si>
  <si>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</si>
  <si>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</si>
  <si>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</si>
  <si>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</si>
  <si>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</si>
  <si>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</si>
  <si>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</si>
  <si>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</si>
  <si>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</si>
  <si>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</si>
  <si>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ES-2014-KM1637548-41667</t>
  </si>
  <si>
    <t>1/28/14 0:00</t>
  </si>
  <si>
    <t>1/30/14 0:00</t>
  </si>
  <si>
    <t>Katherine Murray</t>
  </si>
  <si>
    <t>Rick Hansen</t>
  </si>
  <si>
    <t>IN-2014-JM156557-41818</t>
  </si>
  <si>
    <t>6/28/14 0:00</t>
  </si>
  <si>
    <t>Jim Mitchum</t>
  </si>
  <si>
    <t>Toby Swindell</t>
  </si>
  <si>
    <t>IN-2013-MB1808592-41378</t>
  </si>
  <si>
    <t>Mick Brown</t>
  </si>
  <si>
    <t>CA-2014-AB10015140-41954</t>
  </si>
  <si>
    <t>11/13/14 0:00</t>
  </si>
  <si>
    <t>Aaron Bergman</t>
  </si>
  <si>
    <t>CA-2012-AB10015140-40974</t>
  </si>
  <si>
    <t>17.94#</t>
  </si>
  <si>
    <t>ID-2013-AJ107801-41383</t>
  </si>
  <si>
    <t>4/19/13 0:00</t>
  </si>
  <si>
    <t>Anthony Jacobs</t>
  </si>
  <si>
    <t>Afghanistan</t>
  </si>
  <si>
    <t>SA-2012-MM7260110-41269</t>
  </si>
  <si>
    <t>Supplies</t>
  </si>
  <si>
    <t>IN-2014-PF1912027-41796</t>
  </si>
  <si>
    <t>Peter Fuller</t>
  </si>
  <si>
    <t>EASTERN ASIA</t>
  </si>
  <si>
    <t>ES-2015-BP1118545-42216</t>
  </si>
  <si>
    <t>7/31/15 0:00</t>
  </si>
  <si>
    <t>Ben Peterman</t>
  </si>
  <si>
    <t>CA-2012-AB10015140-40958</t>
  </si>
  <si>
    <t>2/19/12 0:00</t>
  </si>
  <si>
    <t>ES-2015-PJ1883564-42255</t>
  </si>
  <si>
    <t>7958.58#</t>
  </si>
  <si>
    <t>IN-2015-JS156857-42035</t>
  </si>
  <si>
    <t>1/31/15 0:00</t>
  </si>
  <si>
    <t>Jim Sink</t>
  </si>
  <si>
    <t>TZ-2015-RH9555129-42343</t>
  </si>
  <si>
    <t>PL-2013-AB600103-41494</t>
  </si>
  <si>
    <t>Ann Blume</t>
  </si>
  <si>
    <t>IN-2012-JK1532527-41030</t>
  </si>
  <si>
    <t>Jason Klamczynski</t>
  </si>
  <si>
    <t>ES-2014-LB16795139-41697</t>
  </si>
  <si>
    <t>Laurel Beltran</t>
  </si>
  <si>
    <t>US-2015-NP1832582-42216</t>
  </si>
  <si>
    <t>Naresj Patel</t>
  </si>
  <si>
    <t>MX-2015-VD2167039-42252</t>
  </si>
  <si>
    <t>Valerie Dominguez</t>
  </si>
  <si>
    <t>IN-2012-PB19210127-41259</t>
  </si>
  <si>
    <t>12/16/12 0:00</t>
  </si>
  <si>
    <t>Taiwan</t>
  </si>
  <si>
    <t>ES-2012-EB1411048-40981</t>
  </si>
  <si>
    <t>3/16/12 0:00</t>
  </si>
  <si>
    <t>Eugene Barchas</t>
  </si>
  <si>
    <t>CA-2012-AH10030140-41020</t>
  </si>
  <si>
    <t>4/21/12 0:00</t>
  </si>
  <si>
    <t>4/23/12 0:00</t>
  </si>
  <si>
    <t>Aaron Hawkins</t>
  </si>
  <si>
    <t>IN-2013-BP1123058-41329</t>
  </si>
  <si>
    <t>2/24/13 0:00</t>
  </si>
  <si>
    <t>US-2012-RR1952536-41270</t>
  </si>
  <si>
    <t>Rick Reed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</si>
  <si>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</si>
  <si>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</si>
  <si>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</si>
  <si>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</si>
  <si>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</si>
  <si>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</si>
  <si>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IN-2012-DP131057-41215</t>
  </si>
  <si>
    <t>Dave Poirier</t>
  </si>
  <si>
    <t>CA-2013-AH10030140-41635</t>
  </si>
  <si>
    <t>CG-2012-AH1003033-41165</t>
  </si>
  <si>
    <t>9/14/12 0:00</t>
  </si>
  <si>
    <t>CA-2012-AH10030140-41041</t>
  </si>
  <si>
    <t>CA-2012-AH10030140-41273</t>
  </si>
  <si>
    <t>12/30/12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</si>
  <si>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</si>
  <si>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</si>
  <si>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</si>
  <si>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</si>
  <si>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</si>
  <si>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</si>
  <si>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8/26/14 0:00</t>
  </si>
  <si>
    <t>Joy Bell-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</si>
  <si>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</si>
  <si>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</si>
  <si>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</si>
  <si>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</si>
  <si>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</si>
  <si>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</si>
  <si>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</si>
  <si>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</si>
  <si>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</si>
  <si>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</si>
  <si>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</si>
  <si>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</si>
  <si>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9/24/12 0:00</t>
  </si>
  <si>
    <t>Zuschuss Carroll</t>
  </si>
  <si>
    <t>CA-2014-AH10030140-41719</t>
  </si>
  <si>
    <t>3/21/14 0:00</t>
  </si>
  <si>
    <t>3/26/14 0:00</t>
  </si>
  <si>
    <t>IT-2014-EB1384045-41706</t>
  </si>
  <si>
    <t>Elli sBallard</t>
  </si>
  <si>
    <t>IN-2015-AP1091527-42244</t>
  </si>
  <si>
    <t>8/29/15 0:00</t>
  </si>
  <si>
    <t>Arthur Prichep</t>
  </si>
  <si>
    <t>IN-2015-SW2027558-42125</t>
  </si>
  <si>
    <t>Scott Williamson</t>
  </si>
  <si>
    <t>MX-2015-JH15820141-42356</t>
  </si>
  <si>
    <t>Uruguay</t>
  </si>
  <si>
    <t>US-2012-AH10030140-41206</t>
  </si>
  <si>
    <t>10/24/12 0:00</t>
  </si>
  <si>
    <t>10/27/12 0:00</t>
  </si>
  <si>
    <t>IR-2015-TG1164060-42265</t>
  </si>
  <si>
    <t>9/18/15 0:00</t>
  </si>
  <si>
    <t>9/21/15 0:00</t>
  </si>
  <si>
    <t>Trudy Glocke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</si>
  <si>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</si>
  <si>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</si>
  <si>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</si>
  <si>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</si>
  <si>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</si>
  <si>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</si>
  <si>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</si>
  <si>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Sheri Gordon</t>
  </si>
  <si>
    <t>Eastern US#</t>
  </si>
  <si>
    <t>IN-2013-GP1474058-41419</t>
  </si>
  <si>
    <t>Guy Phonely</t>
  </si>
  <si>
    <t>IN-2015-MW182207-42221</t>
  </si>
  <si>
    <t>5/18/12 0:00</t>
  </si>
  <si>
    <t>IN-2015-CS1246011-42074</t>
  </si>
  <si>
    <t>Chuck Sachs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</si>
  <si>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</si>
  <si>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</si>
  <si>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</si>
  <si>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</si>
  <si>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</si>
  <si>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</si>
  <si>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</si>
  <si>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</si>
  <si>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</si>
  <si>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</si>
  <si>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</si>
  <si>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</si>
  <si>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</si>
  <si>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</si>
  <si>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</si>
  <si>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</si>
  <si>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</si>
  <si>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</si>
  <si>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</si>
  <si>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</si>
  <si>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</si>
  <si>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</si>
  <si>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</si>
  <si>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EASTERN EUROPE</t>
  </si>
  <si>
    <t>IN-2014-AS1022527-47197</t>
  </si>
  <si>
    <t>China#</t>
  </si>
  <si>
    <t>MX-2012-ST2053093-41234</t>
  </si>
  <si>
    <t>11/21/12 0:00</t>
  </si>
  <si>
    <t>11/22/12 0:00</t>
  </si>
  <si>
    <t>Shui Tom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</si>
  <si>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</si>
  <si>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</si>
  <si>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</si>
  <si>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</si>
  <si>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</si>
  <si>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</si>
  <si>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</si>
  <si>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</si>
  <si>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IN-2015-JH158207-42140</t>
  </si>
  <si>
    <t>5/18/15 0:00</t>
  </si>
  <si>
    <t>Critiacl</t>
  </si>
  <si>
    <t>ES-2014-BE1141048-41967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</si>
  <si>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</si>
  <si>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</si>
  <si>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</si>
  <si>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</si>
  <si>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</si>
  <si>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</si>
  <si>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</si>
  <si>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</si>
  <si>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</si>
  <si>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</si>
  <si>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</si>
  <si>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9/26/14 0:00</t>
  </si>
  <si>
    <t>US-2015-AS10045140-42252</t>
  </si>
  <si>
    <t>1/29/14 0:00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</si>
  <si>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</si>
  <si>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</si>
  <si>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</si>
  <si>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</si>
  <si>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</si>
  <si>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</si>
  <si>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</si>
  <si>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</si>
  <si>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12/14/14 0:00</t>
  </si>
  <si>
    <t>IN-2013-GP1474085-41419</t>
  </si>
  <si>
    <t>CA-2015-AS10045140-42281</t>
  </si>
  <si>
    <t>ES-2014-NZ1856545-41975</t>
  </si>
  <si>
    <t>Nick Zandusky</t>
  </si>
  <si>
    <t>ID-2014-SC20695102-41667</t>
  </si>
  <si>
    <t>Steve Chapman</t>
  </si>
  <si>
    <t>197.19000000000005unknown</t>
  </si>
  <si>
    <t>IN-2013-NC186257-41401</t>
  </si>
  <si>
    <t>Noah Childs</t>
  </si>
  <si>
    <t>11/27/14 0:00</t>
  </si>
  <si>
    <t>Austria</t>
  </si>
  <si>
    <t>IN-2013-NZ185657-41606</t>
  </si>
  <si>
    <t>IT-2013-PM1984045-41546</t>
  </si>
  <si>
    <t>9/29/13 0:00</t>
  </si>
  <si>
    <t>Paul MacIntyre</t>
  </si>
  <si>
    <t>ES-2014-MZ1733545-41885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</si>
  <si>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</si>
  <si>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</si>
  <si>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</si>
  <si>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</si>
  <si>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</si>
  <si>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</si>
  <si>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</si>
  <si>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</si>
  <si>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</si>
  <si>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</si>
  <si>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</si>
  <si>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</si>
  <si>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</si>
  <si>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</si>
  <si>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</si>
  <si>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</si>
  <si>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</si>
  <si>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</si>
  <si>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</si>
  <si>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</si>
  <si>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</si>
  <si>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</si>
  <si>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</si>
  <si>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</si>
  <si>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</si>
  <si>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</si>
  <si>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CA-2014-AS10045140-41727</t>
  </si>
  <si>
    <t>ES-2013-DM1352548-41369</t>
  </si>
  <si>
    <t>Don Miller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</si>
  <si>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</si>
  <si>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</si>
  <si>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</si>
  <si>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</si>
  <si>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</si>
  <si>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</si>
  <si>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</si>
  <si>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</si>
  <si>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</si>
  <si>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</si>
  <si>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</si>
  <si>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</si>
  <si>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</si>
  <si>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</si>
  <si>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</si>
  <si>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</si>
  <si>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</si>
  <si>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</si>
  <si>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</si>
  <si>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IN-2014-CM121157-41913</t>
  </si>
  <si>
    <t>CA-2015-AB10060140-42315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</si>
  <si>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</si>
  <si>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</si>
  <si>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</si>
  <si>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</si>
  <si>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</si>
  <si>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</si>
  <si>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</si>
  <si>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</si>
  <si>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</si>
  <si>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</si>
  <si>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</si>
  <si>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</si>
  <si>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</si>
  <si>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</si>
  <si>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</si>
  <si>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</si>
  <si>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</si>
  <si>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</si>
  <si>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</si>
  <si>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</si>
  <si>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</si>
  <si>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IN-2013-PM1894059-41284</t>
  </si>
  <si>
    <t>1/14/13 0:00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</si>
  <si>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</si>
  <si>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</si>
  <si>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</si>
  <si>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</si>
  <si>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</si>
  <si>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</si>
  <si>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</si>
  <si>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</si>
  <si>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</si>
  <si>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</si>
  <si>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</si>
  <si>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</si>
  <si>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</si>
  <si>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</si>
  <si>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</si>
  <si>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</si>
  <si>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</si>
  <si>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</si>
  <si>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</si>
  <si>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</si>
  <si>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ID-2014-CR126257-41878</t>
  </si>
  <si>
    <t>8/29/14 0:00</t>
  </si>
  <si>
    <t>Corey Roper</t>
  </si>
  <si>
    <t>5/16/12 0:00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</si>
  <si>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</si>
  <si>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</si>
  <si>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</si>
  <si>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</si>
  <si>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</si>
  <si>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</si>
  <si>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</si>
  <si>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ES-2013-JH1582048-41306#</t>
  </si>
  <si>
    <t>MX-2015-DM1295551-42103</t>
  </si>
  <si>
    <t>4/13/15 0:00</t>
  </si>
  <si>
    <t>Dario Medina</t>
  </si>
  <si>
    <t>CA-2014-AB10060140-41881</t>
  </si>
  <si>
    <t>8/30/14 0:00</t>
  </si>
  <si>
    <t>MX-2015-BE1133582-42082</t>
  </si>
  <si>
    <t>3/19/15 0:00</t>
  </si>
  <si>
    <t>3/21/15 0:00</t>
  </si>
  <si>
    <t>IN-2014-SO2033527-41914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</si>
  <si>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</si>
  <si>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</si>
  <si>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</si>
  <si>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</si>
  <si>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</si>
  <si>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</si>
  <si>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CA-2013-AB10060140-41535</t>
  </si>
  <si>
    <t>9/24/13 0:00</t>
  </si>
  <si>
    <t>ID-2015-HG1502559-42194#</t>
  </si>
  <si>
    <t>7/13/15 0:00</t>
  </si>
  <si>
    <t>ID-2014-AD1018059-41801</t>
  </si>
  <si>
    <t>Alan Dominguez</t>
  </si>
  <si>
    <t>ES-2012-BP11155139-41130</t>
  </si>
  <si>
    <t>Becky Pak#</t>
  </si>
  <si>
    <t>3/17/15 0:00</t>
  </si>
  <si>
    <t>ID-2014-RL196157-41641</t>
  </si>
  <si>
    <t>Rob Lucas</t>
  </si>
  <si>
    <t>ID-2013-SW2024559-41557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</si>
  <si>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</si>
  <si>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</si>
  <si>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</si>
  <si>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</si>
  <si>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</si>
  <si>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</si>
  <si>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</si>
  <si>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</si>
  <si>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5/19/12 0:00</t>
  </si>
  <si>
    <t>Jill Matthias</t>
  </si>
  <si>
    <t>ES-2014-JF15295120-41924</t>
  </si>
  <si>
    <t>Jason Fortune-</t>
  </si>
  <si>
    <t>CA-2015-AB10060140-42264</t>
  </si>
  <si>
    <t>UP-2015-DJ3510137-42202</t>
  </si>
  <si>
    <t>7/17/15 0:00</t>
  </si>
  <si>
    <t>Ukraine#</t>
  </si>
  <si>
    <t>ES-2015-MF1825045-42330</t>
  </si>
  <si>
    <t>IT-2012-TC2129545-41058</t>
  </si>
  <si>
    <t>5/29/12 0:00</t>
  </si>
  <si>
    <t>Toby Carlisle</t>
  </si>
  <si>
    <t>7/20/15 0:00</t>
  </si>
  <si>
    <t>ES-2015-EH1412545-42245</t>
  </si>
  <si>
    <t>Eugene Hildebrand</t>
  </si>
  <si>
    <t>Nat Carroll</t>
  </si>
  <si>
    <t>ID-2014-JS1603059-41760</t>
  </si>
  <si>
    <t>ES-2012-AM10360139-41136</t>
  </si>
  <si>
    <t>8/20/12 0:00</t>
  </si>
  <si>
    <t>Alice McCarthy</t>
  </si>
  <si>
    <t>IN-2015-JF1519021-42341</t>
  </si>
  <si>
    <t>Cambodia</t>
  </si>
  <si>
    <t>IN-2014-AB100157-41815</t>
  </si>
  <si>
    <t>6/25/14 0:00</t>
  </si>
  <si>
    <t>6/29/14 0:00</t>
  </si>
  <si>
    <t>ES-2014-JG15160139-41660</t>
  </si>
  <si>
    <t>1/21/14 0:00</t>
  </si>
  <si>
    <t>1/24/14 0:00</t>
  </si>
  <si>
    <t>James Galang</t>
  </si>
  <si>
    <t>CA-2015-AH10075140-42301</t>
  </si>
  <si>
    <t>10/24/15 0:00</t>
  </si>
  <si>
    <t>10/25/15 0:00</t>
  </si>
  <si>
    <t>Adam Hart</t>
  </si>
  <si>
    <t>IN-2015-AG1033059-42197</t>
  </si>
  <si>
    <t>7/14/15 0:00</t>
  </si>
  <si>
    <t>20151-0-24</t>
  </si>
  <si>
    <t>dAam Hart</t>
  </si>
  <si>
    <t>ES-2015-NF1847548-42248</t>
  </si>
  <si>
    <t>Neil FranzÃ¶sisch</t>
  </si>
  <si>
    <t>IN-2012-DR129407-41066</t>
  </si>
  <si>
    <t>ES-2012-NB1865548-41194</t>
  </si>
  <si>
    <t>Nona Balk</t>
  </si>
  <si>
    <t>Germany#</t>
  </si>
  <si>
    <t>IN-2014-NM1844527-41800</t>
  </si>
  <si>
    <t>Nathan aMutz</t>
  </si>
  <si>
    <t>12/17/15 0:00</t>
  </si>
  <si>
    <t>CA-2014-AH10075140-41898</t>
  </si>
  <si>
    <t>ID-2015-SC20380102-42165</t>
  </si>
  <si>
    <t>Shahid Collister</t>
  </si>
  <si>
    <t>SF-2012-PA9060117-40954</t>
  </si>
  <si>
    <t>Pete Armstrong</t>
  </si>
  <si>
    <t>ES-2014-RB19570120-41971</t>
  </si>
  <si>
    <t>Rob Beeghly</t>
  </si>
  <si>
    <t>CA-2014-AH10075140-41817</t>
  </si>
  <si>
    <t>6/27/14 0:00</t>
  </si>
  <si>
    <t>CA-2015-AH10075140-42110</t>
  </si>
  <si>
    <t>4/16/15 0:00</t>
  </si>
  <si>
    <t>4/19/15 0:00</t>
  </si>
  <si>
    <t>US-2012-LH1675036-41129</t>
  </si>
  <si>
    <t>Larry Hughes</t>
  </si>
  <si>
    <t>CA-2014-AH10075140-41991</t>
  </si>
  <si>
    <t>12/22/14 0:00</t>
  </si>
  <si>
    <t>IN-2013-KB1658527-41488#</t>
  </si>
  <si>
    <t>Ken Black</t>
  </si>
  <si>
    <t>ES-2013-LH1715545-41444</t>
  </si>
  <si>
    <t>CA-2015-AH1007523-42101</t>
  </si>
  <si>
    <t>Canaad</t>
  </si>
  <si>
    <t>IR-2014-MZ751650-41853</t>
  </si>
  <si>
    <t>5/25/15 0:00</t>
  </si>
  <si>
    <t>Denise Monton</t>
  </si>
  <si>
    <t>ID-2012-CA1196566-40949</t>
  </si>
  <si>
    <t>ES-2014-SC20305120-41909</t>
  </si>
  <si>
    <t>Sean Christensen</t>
  </si>
  <si>
    <t>IN-2015-MH1811558-42157</t>
  </si>
  <si>
    <t>9/30/14 0:00</t>
  </si>
  <si>
    <t>Karen Seio</t>
  </si>
  <si>
    <t>IN-2012-BG1174078-41108</t>
  </si>
  <si>
    <t>7/18/12 0:00</t>
  </si>
  <si>
    <t>7/19/12 0:00</t>
  </si>
  <si>
    <t>Bruce Geld</t>
  </si>
  <si>
    <t>RS-2015-CR2625108-42230</t>
  </si>
  <si>
    <t>8/14/15 0:00</t>
  </si>
  <si>
    <t>IN-2015-DK1309027-42308</t>
  </si>
  <si>
    <t>IN-2014-JL1583527-41845</t>
  </si>
  <si>
    <t>7/25/14 0:00</t>
  </si>
  <si>
    <t>7/30/14 0:00</t>
  </si>
  <si>
    <t>John Lee</t>
  </si>
  <si>
    <t>Column1</t>
  </si>
  <si>
    <t>M</t>
  </si>
  <si>
    <t>A1:M223</t>
  </si>
  <si>
    <t>DATA RANGE</t>
  </si>
  <si>
    <t xml:space="preserve">TOTAL NO OF QUANTITY SOLD </t>
  </si>
  <si>
    <t>78 TECH</t>
  </si>
  <si>
    <t>64 FURN</t>
  </si>
  <si>
    <t>57 OFFI</t>
  </si>
  <si>
    <t>TYPE OF CATEGORY SOLD</t>
  </si>
  <si>
    <t>TECHNOLOGY</t>
  </si>
  <si>
    <t>FURNITURES</t>
  </si>
  <si>
    <t>OFFICE SUPPLIES</t>
  </si>
  <si>
    <t>CATEGORICAL DATA</t>
  </si>
  <si>
    <t>NUMERICAL DATA</t>
  </si>
  <si>
    <t>ORDER DATA,SHIP DATE, SALES,QUANTITY,DISCOUNT,PROFIT</t>
  </si>
  <si>
    <t>CUSTOMER NAME, COUNTRY, REGION, CATEGORY( SOME DATAS ARE NOT PERFECT)</t>
  </si>
  <si>
    <t>ORDER DATE, SHIP DATE, SALES, QUANTITY, DISCOUNT, PROFIT( SOME DATAS ARE NOT PERFECT)</t>
  </si>
  <si>
    <t>MINIMUM PROFIT</t>
  </si>
  <si>
    <t>MAXIMUM PROFIT</t>
  </si>
  <si>
    <t>HERE MINUS IS REFFERED AS LOSS</t>
  </si>
  <si>
    <t>TOTAL ROWS</t>
  </si>
  <si>
    <t>TOTAL COLUMS</t>
  </si>
  <si>
    <t>NOTE : SOME OF THE DATAS ARE NOT IN PROPER FORMAT OR ELSE SOME DATAS ARE MISSING IN THE GIVEN DATA</t>
  </si>
  <si>
    <t>THIS CHART REFERS TO THAT TYPE OF CATEGORY THE CUSTOMERS HAS PURCHASED</t>
  </si>
  <si>
    <t>THE MENTIONED COLOUR DENOTES THAT I HAVE  INSERTED 1 ROWS AND 13 COLUMS</t>
  </si>
  <si>
    <t>THE MENTIONED COLOUR DENOTES THAT I HAVE  DELETED  2 ROWS AND 13 COLUMS</t>
  </si>
  <si>
    <t>THIS COLOUR INDICATES HEADERS AND THE HEADERS HAS SHOWN IN BOLD LETTERS AND ALSO CENTER ALIGNED</t>
  </si>
  <si>
    <t>SUM</t>
  </si>
  <si>
    <t>AVERAGE</t>
  </si>
  <si>
    <t>MINIMUM</t>
  </si>
  <si>
    <t>MAXIMUM</t>
  </si>
  <si>
    <t>COUNT</t>
  </si>
  <si>
    <t>TOTAL SALES WAS 34047.75</t>
  </si>
  <si>
    <t>THE NUMERICAL VALUE MENTIONED AS RED COLOUR WAS NOT TAKEN BECAUSE OF CATEGORICAL DATA IS USED (17.94# AND 7958.58#) HERE EXCEL TAKES # AS CATEGORICAL DATA</t>
  </si>
  <si>
    <t>AVERAGE SALES WAS 2619.05</t>
  </si>
  <si>
    <t>TOTAL PROFIT WAS 9710.42</t>
  </si>
  <si>
    <t>AVERAGE PROFIT 746.95</t>
  </si>
  <si>
    <t>MINIMUM VALUE IS 12.62</t>
  </si>
  <si>
    <t>MAXIMUM VALUE IS 5244.84</t>
  </si>
  <si>
    <t>TOTAL COUNT IS 13</t>
  </si>
  <si>
    <t>MINIMUM VALUE IS -96.54</t>
  </si>
  <si>
    <t>MAXIMUM VALUE IS 3979.08</t>
  </si>
  <si>
    <t>IF</t>
  </si>
  <si>
    <t>HERE IF CONDITION IS USED TO FIND PROFIT OR LOSS</t>
  </si>
  <si>
    <t>SUMIF</t>
  </si>
  <si>
    <t xml:space="preserve">HERE I HAVE CHOOSE TOTAL SALES OF OFFICE SUPPLIES </t>
  </si>
  <si>
    <t>COUNT IF</t>
  </si>
  <si>
    <t>AVERAGE IF</t>
  </si>
  <si>
    <t xml:space="preserve">HERE I HAVE CHOOSE TOTAL COUNT OF TECHNOLOGY </t>
  </si>
  <si>
    <t>HERE I HAVE CHOOSE AVERAGE SALES OF FURNITURE</t>
  </si>
  <si>
    <t>HERE I HAVE USED COUNT IF FOR CALCULATING THE SALES ABOVE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</si>
</sst>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9" fillId="5" borderId="0" applyNumberFormat="0" applyBorder="0" applyAlignment="0" applyProtection="0"/>
  </cellStyleXfs>
  <cellXfs count="76">
    <xf numFmtId="0" fontId="0" fillId="0" borderId="0" xfId="0"/>
    <xf numFmtId="0" fontId="4" fillId="3" borderId="5" xfId="2" applyFont="1" applyBorder="1" applyAlignment="1">
      <alignment horizontal="left" wrapText="1"/>
    </xf>
    <xf numFmtId="0" fontId="4" fillId="3" borderId="6" xfId="2" applyFont="1" applyBorder="1" applyAlignment="1">
      <alignment horizontal="left" wrapText="1"/>
    </xf>
    <xf numFmtId="0" fontId="4" fillId="3" borderId="7" xfId="2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22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22" fontId="5" fillId="0" borderId="0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6" borderId="3" xfId="0" applyFont="1" applyFill="1" applyBorder="1" applyAlignment="1">
      <alignment horizontal="left" wrapText="1"/>
    </xf>
    <xf numFmtId="22" fontId="5" fillId="6" borderId="2" xfId="0" applyNumberFormat="1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wrapText="1"/>
    </xf>
    <xf numFmtId="0" fontId="5" fillId="6" borderId="4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left" wrapText="1"/>
    </xf>
    <xf numFmtId="22" fontId="5" fillId="7" borderId="2" xfId="0" applyNumberFormat="1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vertical="center"/>
    </xf>
    <xf numFmtId="14" fontId="5" fillId="7" borderId="2" xfId="0" applyNumberFormat="1" applyFont="1" applyFill="1" applyBorder="1" applyAlignment="1">
      <alignment horizontal="left" wrapText="1"/>
    </xf>
    <xf numFmtId="0" fontId="5" fillId="7" borderId="9" xfId="0" applyFont="1" applyFill="1" applyBorder="1" applyAlignment="1">
      <alignment horizontal="left" wrapText="1"/>
    </xf>
    <xf numFmtId="0" fontId="5" fillId="7" borderId="10" xfId="0" applyFont="1" applyFill="1" applyBorder="1" applyAlignment="1">
      <alignment horizontal="left" wrapText="1"/>
    </xf>
    <xf numFmtId="0" fontId="5" fillId="8" borderId="3" xfId="0" applyFont="1" applyFill="1" applyBorder="1" applyAlignment="1">
      <alignment horizontal="left" wrapText="1"/>
    </xf>
    <xf numFmtId="22" fontId="5" fillId="8" borderId="2" xfId="0" applyNumberFormat="1" applyFont="1" applyFill="1" applyBorder="1" applyAlignment="1">
      <alignment horizontal="left" wrapText="1"/>
    </xf>
    <xf numFmtId="0" fontId="5" fillId="8" borderId="2" xfId="0" applyFont="1" applyFill="1" applyBorder="1" applyAlignment="1">
      <alignment horizontal="left" wrapText="1"/>
    </xf>
    <xf numFmtId="0" fontId="0" fillId="8" borderId="0" xfId="0" applyFill="1"/>
    <xf numFmtId="0" fontId="5" fillId="9" borderId="3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horizontal="left" wrapText="1"/>
    </xf>
    <xf numFmtId="22" fontId="5" fillId="9" borderId="2" xfId="0" applyNumberFormat="1" applyFont="1" applyFill="1" applyBorder="1" applyAlignment="1">
      <alignment horizontal="left" wrapText="1"/>
    </xf>
    <xf numFmtId="0" fontId="5" fillId="9" borderId="8" xfId="0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5" fillId="10" borderId="3" xfId="0" applyFont="1" applyFill="1" applyBorder="1" applyAlignment="1">
      <alignment horizontal="left" wrapText="1"/>
    </xf>
    <xf numFmtId="0" fontId="5" fillId="10" borderId="2" xfId="0" applyFont="1" applyFill="1" applyBorder="1" applyAlignment="1">
      <alignment horizontal="left" wrapText="1"/>
    </xf>
    <xf numFmtId="0" fontId="0" fillId="10" borderId="0" xfId="0" applyFill="1"/>
    <xf numFmtId="0" fontId="9" fillId="5" borderId="0" xfId="4"/>
    <xf numFmtId="0" fontId="10" fillId="5" borderId="7" xfId="4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10" borderId="4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5" fillId="9" borderId="10" xfId="0" applyFont="1" applyFill="1" applyBorder="1" applyAlignment="1">
      <alignment horizontal="center" wrapText="1"/>
    </xf>
    <xf numFmtId="0" fontId="10" fillId="5" borderId="5" xfId="4" applyFont="1" applyBorder="1" applyAlignment="1">
      <alignment horizontal="center" wrapText="1"/>
    </xf>
    <xf numFmtId="0" fontId="10" fillId="5" borderId="6" xfId="4" applyFont="1" applyBorder="1" applyAlignment="1">
      <alignment horizontal="center" wrapText="1"/>
    </xf>
    <xf numFmtId="0" fontId="5" fillId="7" borderId="8" xfId="0" applyFont="1" applyFill="1" applyBorder="1" applyAlignment="1">
      <alignment horizontal="left" wrapText="1"/>
    </xf>
    <xf numFmtId="22" fontId="5" fillId="7" borderId="9" xfId="0" applyNumberFormat="1" applyFont="1" applyFill="1" applyBorder="1" applyAlignment="1">
      <alignment horizontal="left" wrapText="1"/>
    </xf>
    <xf numFmtId="0" fontId="9" fillId="11" borderId="5" xfId="0" applyFont="1" applyFill="1" applyBorder="1" applyAlignment="1">
      <alignment horizontal="left" wrapText="1"/>
    </xf>
    <xf numFmtId="0" fontId="9" fillId="11" borderId="6" xfId="0" applyFont="1" applyFill="1" applyBorder="1" applyAlignment="1">
      <alignment horizontal="left" wrapText="1"/>
    </xf>
    <xf numFmtId="0" fontId="9" fillId="11" borderId="7" xfId="0" applyFont="1" applyFill="1" applyBorder="1" applyAlignment="1">
      <alignment horizontal="left" wrapText="1"/>
    </xf>
    <xf numFmtId="0" fontId="0" fillId="12" borderId="2" xfId="0" applyFill="1" applyBorder="1" applyAlignment="1"/>
    <xf numFmtId="0" fontId="11" fillId="6" borderId="2" xfId="0" applyFont="1" applyFill="1" applyBorder="1" applyAlignment="1">
      <alignment horizontal="left" wrapText="1"/>
    </xf>
    <xf numFmtId="0" fontId="11" fillId="7" borderId="9" xfId="0" applyFont="1" applyFill="1" applyBorder="1" applyAlignment="1">
      <alignment horizontal="left" wrapText="1"/>
    </xf>
    <xf numFmtId="0" fontId="0" fillId="13" borderId="0" xfId="0" applyFill="1"/>
    <xf numFmtId="0" fontId="0" fillId="13" borderId="0" xfId="0" applyFill="1" applyAlignment="1">
      <alignment wrapText="1"/>
    </xf>
    <xf numFmtId="0" fontId="1" fillId="2" borderId="0" xfId="1"/>
    <xf numFmtId="0" fontId="12" fillId="8" borderId="0" xfId="0" applyFont="1" applyFill="1" applyAlignment="1">
      <alignment wrapText="1"/>
    </xf>
    <xf numFmtId="0" fontId="3" fillId="4" borderId="1" xfId="3" applyAlignment="1">
      <alignment horizontal="center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0" fontId="3" fillId="4" borderId="13" xfId="3" applyBorder="1" applyAlignment="1">
      <alignment horizontal="center"/>
    </xf>
    <xf numFmtId="0" fontId="3" fillId="4" borderId="14" xfId="3" applyBorder="1" applyAlignment="1">
      <alignment horizontal="center"/>
    </xf>
    <xf numFmtId="0" fontId="3" fillId="4" borderId="15" xfId="3" applyBorder="1" applyAlignment="1">
      <alignment horizontal="center"/>
    </xf>
    <xf numFmtId="0" fontId="3" fillId="4" borderId="16" xfId="3" applyBorder="1" applyAlignment="1">
      <alignment horizontal="center"/>
    </xf>
    <xf numFmtId="0" fontId="6" fillId="4" borderId="11" xfId="3" applyFont="1" applyBorder="1" applyAlignment="1">
      <alignment horizontal="center"/>
    </xf>
    <xf numFmtId="0" fontId="8" fillId="2" borderId="0" xfId="1" applyFont="1" applyAlignment="1">
      <alignment horizontal="center"/>
    </xf>
    <xf numFmtId="0" fontId="7" fillId="3" borderId="17" xfId="2" applyFont="1" applyBorder="1" applyAlignment="1"/>
    <xf numFmtId="0" fontId="7" fillId="3" borderId="0" xfId="2" applyFont="1" applyAlignment="1">
      <alignment horizontal="center"/>
    </xf>
    <xf numFmtId="0" fontId="0" fillId="0" borderId="0" xfId="0" applyAlignment="1">
      <alignment horizontal="center" wrapText="1"/>
    </xf>
  </cellXfs>
  <cellStyles count="5">
    <cellStyle name="Bad" xfId="2" builtinId="27"/>
    <cellStyle name="Check Cell" xfId="3" builtinId="23"/>
    <cellStyle name="Good" xfId="1" builtinId="26"/>
    <cellStyle name="Neutral" xfId="4" builtinId="28"/>
    <cellStyle name="Normal" xfId="0" builtinId="0"/>
  </cellStyles>
  <dxfs count="58">
    <dxf>
      <numFmt numFmtId="0" formatCode="General"/>
      <fill>
        <patternFill patternType="solid">
          <fgColor indexed="64"/>
          <bgColor theme="5" tint="0.59999389629810485"/>
        </patternFill>
      </fill>
    </dxf>
    <dxf>
      <border outline="0">
        <top style="double">
          <color rgb="FF3F3F3F"/>
        </top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4"/>
          <bgColor rgb="FFFFEB9C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1'!$K$231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1'!$J$232:$J$234</c:f>
              <c:strCache>
                <c:ptCount val="3"/>
                <c:pt idx="0">
                  <c:v>TECHNOLOGY</c:v>
                </c:pt>
                <c:pt idx="1">
                  <c:v>FURNITURES</c:v>
                </c:pt>
                <c:pt idx="2">
                  <c:v>OFFICE SUPPLIES</c:v>
                </c:pt>
              </c:strCache>
            </c:strRef>
          </c:cat>
          <c:val>
            <c:numRef>
              <c:f>'TASK 1'!$K$232:$K$234</c:f>
              <c:numCache>
                <c:formatCode>General</c:formatCode>
                <c:ptCount val="3"/>
                <c:pt idx="0">
                  <c:v>78</c:v>
                </c:pt>
                <c:pt idx="1">
                  <c:v>64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2-4E63-BF79-2BCB9869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3989296"/>
        <c:axId val="564282272"/>
      </c:barChart>
      <c:catAx>
        <c:axId val="48398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82272"/>
        <c:crosses val="autoZero"/>
        <c:auto val="1"/>
        <c:lblAlgn val="ctr"/>
        <c:lblOffset val="100"/>
        <c:noMultiLvlLbl val="0"/>
      </c:catAx>
      <c:valAx>
        <c:axId val="56428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537481</xdr:colOff>
      <xdr:row>234</xdr:row>
      <xdr:rowOff>166007</xdr:rowOff>
    </xdr:from>
    <xdr:to>
      <xdr:col>11</xdr:col>
      <xdr:colOff>1000124</xdr:colOff>
      <xdr:row>248</xdr:row>
      <xdr:rowOff>92528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97D9B-25A7-4401-8A69-9380D855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C5D6C-FFDA-4D85-A612-7BB826A5D947}" name="Table1" displayName="Table1" ref="A1:M228" totalsRowShown="0" headerRowDxfId="57" dataDxfId="55" headerRowBorderDxfId="56" tableBorderDxfId="54" totalsRowBorderDxfId="53" headerRowCellStyle="Bad">
  <autoFilter ref="A1:M228" xr:uid="{6A8424CE-3FCC-4E4C-9BBD-838D3177A27A}"/>
  <tableColumns count="13">
    <tableColumn id="1" xr3:uid="{E5B9928C-C3E0-4673-AA80-71DAD17910B1}" name="Order ID" dataDxfId="52"/>
    <tableColumn id="2" xr3:uid="{CAF99D6C-E436-40D3-8E4F-147DB9A23DA3}" name="Order Date" dataDxfId="51"/>
    <tableColumn id="3" xr3:uid="{A6312812-A0B0-4AB0-98C6-6B7E9864DF80}" name="Ship Date" dataDxfId="50"/>
    <tableColumn id="4" xr3:uid="{F09EBE7E-6028-4B1E-9DA9-FA9E16FFD8BD}" name="Customer Name" dataDxfId="49"/>
    <tableColumn id="5" xr3:uid="{450D123D-DE41-476F-A6BC-EEB577FAE281}" name="Country" dataDxfId="48"/>
    <tableColumn id="6" xr3:uid="{446B45C3-DF20-46FE-AE4F-2011326BB20A}" name="Region" dataDxfId="47"/>
    <tableColumn id="7" xr3:uid="{0738F39C-E0CA-4AF7-87DA-7A402019FDB8}" name="Category" dataDxfId="46"/>
    <tableColumn id="8" xr3:uid="{7DD0778C-7CC4-46F5-B0A2-30B77FF53047}" name="Sub-Category" dataDxfId="45"/>
    <tableColumn id="9" xr3:uid="{506B064B-32B3-4DF8-AF99-6180497CB784}" name="Sales" dataDxfId="44"/>
    <tableColumn id="10" xr3:uid="{BAF9063A-2C08-4A95-ACEA-6F4EC94F2BD5}" name="Quantity" dataDxfId="43"/>
    <tableColumn id="11" xr3:uid="{FDA6B30B-2710-408D-8FD2-E106BCC593D1}" name="Discount" dataDxfId="42"/>
    <tableColumn id="12" xr3:uid="{C07FF84C-9ABE-473E-BE64-724B2B5C9718}" name="Profit" dataDxfId="41"/>
    <tableColumn id="13" xr3:uid="{0DD2AA0F-7A97-4A0F-88F1-2D85DCF9F43B}" name="Order Priority" dataDxfId="4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EA1CA-0AAD-4FA2-BFCF-9CF1CC52E150}" name="Table2" displayName="Table2" ref="J231:K234" totalsRowShown="0" headerRowDxfId="39">
  <autoFilter ref="J231:K234" xr:uid="{878A1E30-45A1-408E-A017-9EF9453FF03C}"/>
  <tableColumns count="2">
    <tableColumn id="1" xr3:uid="{D51FF411-1E5E-44BD-B334-920A9A5E3D97}" name="TYPE OF CATEGORY SOLD"/>
    <tableColumn id="2" xr3:uid="{554CADF5-4D9D-4510-9F10-D8E482E83FFB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D15F03-7F21-4460-9ADE-ED29125A2E0C}" name="Table4" displayName="Table4" ref="A1:M27" totalsRowShown="0" headerRowDxfId="38" dataDxfId="36" headerRowBorderDxfId="37" tableBorderDxfId="35" totalsRowBorderDxfId="34" headerRowCellStyle="Neutral">
  <autoFilter ref="A1:M27" xr:uid="{020D687F-3A36-4608-BA40-C228E59B502C}"/>
  <tableColumns count="13">
    <tableColumn id="1" xr3:uid="{9585DB5C-939E-4085-8AFD-F25AE771FA90}" name="Order ID" dataDxfId="33"/>
    <tableColumn id="2" xr3:uid="{97FE0F1C-1D37-4933-81B5-F115F4FE2A29}" name="Order Date" dataDxfId="32"/>
    <tableColumn id="3" xr3:uid="{CAE0FF29-816A-47C1-A762-0BA3E9039E75}" name="Ship Date" dataDxfId="31"/>
    <tableColumn id="4" xr3:uid="{F45CE723-7A04-4A20-9CF2-C0C83222422C}" name="Customer Name" dataDxfId="30"/>
    <tableColumn id="5" xr3:uid="{58CC7735-7511-4C9B-90D3-660871AF908A}" name="Country" dataDxfId="29"/>
    <tableColumn id="6" xr3:uid="{05D4935A-8A63-4733-BB4C-939EE220290F}" name="Region" dataDxfId="28"/>
    <tableColumn id="7" xr3:uid="{11FF8DE4-C0FF-4E38-A985-DA051D83AF70}" name="Category" dataDxfId="27"/>
    <tableColumn id="8" xr3:uid="{E2F259C1-3AC6-49CB-AAA1-17D5CF3ECED2}" name="Sub-Category" dataDxfId="26"/>
    <tableColumn id="9" xr3:uid="{498CF308-CBAC-416E-B18B-A31754AE1D94}" name="Sales" dataDxfId="25"/>
    <tableColumn id="10" xr3:uid="{AFADC963-7613-4AC2-A797-0BA161E6C8A2}" name="Quantity" dataDxfId="24"/>
    <tableColumn id="11" xr3:uid="{036D3CD3-8758-447B-9AF0-5BC3496FA9CF}" name="Discount" dataDxfId="23"/>
    <tableColumn id="12" xr3:uid="{57AC44DF-AB2D-47E0-9743-62F18347F006}" name="Profit" dataDxfId="22"/>
    <tableColumn id="13" xr3:uid="{8BD38E6C-F4F8-4516-AD67-D579F3741404}" name="Order Priority" dataDxfId="21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6C4A2-3111-45D0-AEDE-13AD31E2553E}" name="Table5" displayName="Table5" ref="A1:M16" totalsRowShown="0" headerRowDxfId="20" dataDxfId="18" headerRowBorderDxfId="19" tableBorderDxfId="17" totalsRowBorderDxfId="16" headerRowCellStyle="Neutral">
  <autoFilter ref="A1:M16" xr:uid="{2265126E-2374-4F07-A7D4-48D210553DE1}"/>
  <tableColumns count="13">
    <tableColumn id="1" xr3:uid="{6F9490E5-00CD-45A2-84CB-6D1D7EDE05F8}" name="Order ID" dataDxfId="15"/>
    <tableColumn id="2" xr3:uid="{D8C5E0C5-0BB4-4044-A9C9-1E1B5CEFA9EA}" name="Order Date"/>
    <tableColumn id="3" xr3:uid="{C7965CA7-77B1-48F7-8514-07F96925A0AC}" name="Ship Date"/>
    <tableColumn id="4" xr3:uid="{1CE873C1-F90D-41BE-A5CD-EFBB73BFEB8F}" name="Customer Name" dataDxfId="14"/>
    <tableColumn id="5" xr3:uid="{CCC68B32-0748-41A4-8F02-CA0FFC29E10C}" name="Country" dataDxfId="13"/>
    <tableColumn id="6" xr3:uid="{61683FE1-7CCE-4B3D-B60B-2C5FB717080B}" name="Region" dataDxfId="12"/>
    <tableColumn id="7" xr3:uid="{CAE2F394-74D9-4CDB-B236-7381738103CD}" name="Category" dataDxfId="11"/>
    <tableColumn id="8" xr3:uid="{F08B0C82-91BA-43D7-9963-E32FC6395008}" name="Sub-Category" dataDxfId="10"/>
    <tableColumn id="9" xr3:uid="{F5C5F638-A400-439E-B6A4-687318DF6171}" name="Sales" dataDxfId="9"/>
    <tableColumn id="10" xr3:uid="{177844E8-1988-40F2-9FB2-349E74B72ADC}" name="Quantity" dataDxfId="8"/>
    <tableColumn id="11" xr3:uid="{504355F4-A6DD-46A3-B547-B4E1CE445216}" name="Discount" dataDxfId="7"/>
    <tableColumn id="12" xr3:uid="{05A6180A-B8D5-40F0-A6BC-A4D22B04FAEC}" name="Profit" dataDxfId="6"/>
    <tableColumn id="13" xr3:uid="{2F8E50E7-7003-42C2-8818-949CE6238588}" name="Order Priority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C9EBA-A2E5-42EB-A95A-D0A3A75C67D9}" name="Table3" displayName="Table3" ref="A1:M21" totalsRowShown="0" headerRowDxfId="4" headerRowBorderDxfId="3" tableBorderDxfId="2" totalsRowBorderDxfId="1" headerRowCellStyle="Bad" dataCellStyle="Normal">
  <autoFilter ref="A1:M21" xr:uid="{88E23F63-508B-4E8A-AEB3-57269462EDF5}"/>
  <tableColumns count="13">
    <tableColumn id="1" xr3:uid="{50500E6C-A0AE-4B92-9859-B0073E9CFFB1}" name="Order ID" dataCellStyle="Normal"/>
    <tableColumn id="2" xr3:uid="{084F3F66-5FF3-44BE-8AD2-24F4C00A5EAC}" name="Order Date" dataCellStyle="Normal"/>
    <tableColumn id="3" xr3:uid="{6FD1BA97-608B-42CF-9811-75E3B5D0FBF9}" name="Ship Date" dataCellStyle="Normal"/>
    <tableColumn id="4" xr3:uid="{F1FEB959-2FFB-4821-B8A3-EB29669E283A}" name="Customer Name" dataCellStyle="Normal"/>
    <tableColumn id="5" xr3:uid="{2CEAA836-FD9E-44CC-8021-DCA57346EF4B}" name="Country" dataCellStyle="Normal"/>
    <tableColumn id="6" xr3:uid="{D9E4CE94-B927-455D-AC1F-7B59E710C526}" name="Region" dataCellStyle="Normal"/>
    <tableColumn id="7" xr3:uid="{88B503B7-9A84-411A-92A2-C964F06D6E36}" name="Category" dataCellStyle="Normal"/>
    <tableColumn id="8" xr3:uid="{102DAB7D-BA51-4B73-A71E-39948FEF000F}" name="Sub-Category" dataCellStyle="Normal"/>
    <tableColumn id="9" xr3:uid="{BC64ECEE-9E49-4015-8A9D-DDC516EEF894}" name="Sales" dataCellStyle="Normal"/>
    <tableColumn id="10" xr3:uid="{75CBDA71-9470-4053-B884-B888A39D5068}" name="Quantity" dataCellStyle="Normal"/>
    <tableColumn id="11" xr3:uid="{EC493282-BE2B-4552-B0A0-0BC4FBC42BE1}" name="Discount" dataCellStyle="Normal"/>
    <tableColumn id="12" xr3:uid="{C16983BC-FF98-4196-8420-E257F66E40F7}" name="Profit" dataCellStyle="Normal"/>
    <tableColumn id="13" xr3:uid="{55F6A0A0-8F7A-422A-B5F2-675A649AF740}" name="Order Priority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3E3041-BA55-4381-8526-88B3DF4DAA70}" name="Table6" displayName="Table6" ref="O1:O21" totalsRowShown="0">
  <autoFilter ref="O1:O21" xr:uid="{6FCF1001-E1A8-4940-AECE-971CD859029C}"/>
  <tableColumns count="1">
    <tableColumn id="1" xr3:uid="{49F87712-9DEA-459A-9E46-A4BAEE524FEA}" name="IF" dataDxfId="0">
      <calculatedColumnFormula>IF(L2&gt;0,"PROFIT","LOSS")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3A9967-90CB-41B9-9AE7-B047CB896DE3}" name="Table7" displayName="Table7" ref="Q1:S2" totalsRowShown="0">
  <autoFilter ref="Q1:S2" xr:uid="{E79864B2-2F36-47E5-956D-6F9E30373D7B}"/>
  <tableColumns count="3">
    <tableColumn id="1" xr3:uid="{297D6D32-EC2A-4A0D-9CF5-A276FC0F2947}" name="SUMIF">
      <calculatedColumnFormula>SUMIF(Table3[Category],"Office Supplies",Table3[Sales])</calculatedColumnFormula>
    </tableColumn>
    <tableColumn id="2" xr3:uid="{516691AE-AC4B-4743-80C0-373975E90CBC}" name="AVERAGE IF">
      <calculatedColumnFormula>AVERAGEIF(Table3[Category],"Furniture",Table3[Sales])</calculatedColumnFormula>
    </tableColumn>
    <tableColumn id="3" xr3:uid="{86221BAC-E9CF-41A6-B515-01FCF1B73155}" name="COUNT IF">
      <calculatedColumnFormula>COUNTIF(Table3[Category],"TECHNOLOGY")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E54E43-51CD-4DE7-A3E8-C941E570AA7D}" name="Table8" displayName="Table8" ref="S5:S6" totalsRowShown="0" headerRowCellStyle="Good">
  <autoFilter ref="S5:S6" xr:uid="{39AB5C5A-0B7C-47CD-A7B9-642A3BB27E71}"/>
  <tableColumns count="1">
    <tableColumn id="1" xr3:uid="{6DCA7737-6BB2-434F-8F9E-FF4841589F3B}" name="COUNT IF">
      <calculatedColumnFormula>COUNTIF(Table3[Sales],"&gt;1000")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5723-6215-4909-98FE-471996ADC24E}">
  <dimension ref="A1:S250"/>
  <sheetViews>
    <sheetView zoomScale="60" zoomScaleNormal="60" workbookViewId="0">
      <selection sqref="A1:M1"/>
    </sheetView>
  </sheetViews>
  <sheetFormatPr defaultRowHeight="15" x14ac:dyDescent="0.25"/>
  <cols>
    <col min="1" max="1" width="31.5703125" bestFit="1" customWidth="1"/>
    <col min="2" max="2" width="19.140625" bestFit="1" customWidth="1"/>
    <col min="3" max="3" width="18.42578125" bestFit="1" customWidth="1"/>
    <col min="4" max="4" width="22.140625" bestFit="1" customWidth="1"/>
    <col min="5" max="5" width="21.42578125" bestFit="1" customWidth="1"/>
    <col min="6" max="6" width="66.140625" customWidth="1"/>
    <col min="7" max="7" width="47.140625" bestFit="1" customWidth="1"/>
    <col min="8" max="8" width="19.5703125" bestFit="1" customWidth="1"/>
    <col min="9" max="9" width="13" bestFit="1" customWidth="1"/>
    <col min="10" max="10" width="18.42578125" customWidth="1"/>
    <col min="11" max="11" width="14.28515625" bestFit="1" customWidth="1"/>
    <col min="12" max="12" width="19.28515625" bestFit="1" customWidth="1"/>
    <col min="13" max="13" width="20.28515625" bestFit="1" customWidth="1"/>
  </cols>
  <sheetData>
    <row r="1" spans="1:19" ht="15.75" x14ac:dyDescent="0.25">
      <c r="A1" s="1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3" t="s">
        <v>165</v>
      </c>
    </row>
    <row r="2" spans="1:19" ht="15.75" x14ac:dyDescent="0.25">
      <c r="A2" s="4" t="s">
        <v>166</v>
      </c>
      <c r="B2" s="5" t="s">
        <v>167</v>
      </c>
      <c r="C2" s="5" t="s">
        <v>168</v>
      </c>
      <c r="D2" s="5" t="s">
        <v>169</v>
      </c>
      <c r="E2" s="5" t="s">
        <v>16</v>
      </c>
      <c r="F2" s="5" t="s">
        <v>17</v>
      </c>
      <c r="G2" s="5" t="s">
        <v>2</v>
      </c>
      <c r="H2" s="5" t="s">
        <v>22</v>
      </c>
      <c r="I2" s="5">
        <v>5175.1710000000003</v>
      </c>
      <c r="J2" s="5">
        <v>9</v>
      </c>
      <c r="K2" s="5">
        <v>0.1</v>
      </c>
      <c r="L2" s="5">
        <v>919.971</v>
      </c>
      <c r="M2" s="6" t="s">
        <v>4</v>
      </c>
    </row>
    <row r="3" spans="1:19" ht="15.75" x14ac:dyDescent="0.25">
      <c r="A3" s="4" t="s">
        <v>170</v>
      </c>
      <c r="B3" s="5" t="s">
        <v>171</v>
      </c>
      <c r="C3" s="5" t="s">
        <v>172</v>
      </c>
      <c r="D3" s="5" t="s">
        <v>173</v>
      </c>
      <c r="E3" s="5" t="s">
        <v>20</v>
      </c>
      <c r="F3" s="5"/>
      <c r="G3" s="5" t="s">
        <v>2</v>
      </c>
      <c r="H3" s="5" t="s">
        <v>18</v>
      </c>
      <c r="I3" s="5">
        <v>2892.51</v>
      </c>
      <c r="J3" s="5">
        <v>5</v>
      </c>
      <c r="K3" s="5">
        <v>0.1</v>
      </c>
      <c r="L3" s="5">
        <v>-96.54</v>
      </c>
      <c r="M3" s="6"/>
    </row>
    <row r="4" spans="1:19" ht="15.75" x14ac:dyDescent="0.25">
      <c r="A4" s="4"/>
      <c r="B4" s="7">
        <v>41770</v>
      </c>
      <c r="C4" s="7">
        <v>41801</v>
      </c>
      <c r="D4" s="8" t="s">
        <v>174</v>
      </c>
      <c r="E4" s="5"/>
      <c r="F4" s="5" t="s">
        <v>149</v>
      </c>
      <c r="G4" s="5" t="s">
        <v>2</v>
      </c>
      <c r="H4" s="5" t="s">
        <v>31</v>
      </c>
      <c r="I4" s="5">
        <v>2832.96</v>
      </c>
      <c r="J4" s="5">
        <v>8</v>
      </c>
      <c r="K4" s="5">
        <v>0</v>
      </c>
      <c r="L4" s="5">
        <v>311.52</v>
      </c>
      <c r="M4" s="6" t="s">
        <v>27</v>
      </c>
    </row>
    <row r="5" spans="1:19" ht="15.75" x14ac:dyDescent="0.25">
      <c r="A5" s="4" t="s">
        <v>175</v>
      </c>
      <c r="B5" s="5" t="s">
        <v>176</v>
      </c>
      <c r="C5" s="7">
        <v>41646</v>
      </c>
      <c r="D5" s="5" t="s">
        <v>177</v>
      </c>
      <c r="E5" s="5" t="s">
        <v>16</v>
      </c>
      <c r="F5" s="5" t="s">
        <v>17</v>
      </c>
      <c r="G5" s="5" t="s">
        <v>2</v>
      </c>
      <c r="H5" s="5" t="s">
        <v>31</v>
      </c>
      <c r="I5" s="5">
        <v>2862.6750000000002</v>
      </c>
      <c r="J5" s="5">
        <v>5</v>
      </c>
      <c r="K5" s="5">
        <v>0.1</v>
      </c>
      <c r="L5" s="5">
        <v>763.27499999999998</v>
      </c>
      <c r="M5" s="6" t="s">
        <v>27</v>
      </c>
    </row>
    <row r="6" spans="1:19" ht="15.75" x14ac:dyDescent="0.25">
      <c r="A6" s="4"/>
      <c r="B6" s="7">
        <v>41071</v>
      </c>
      <c r="C6" s="7">
        <v>41132</v>
      </c>
      <c r="D6" s="5" t="s">
        <v>178</v>
      </c>
      <c r="E6" s="5" t="s">
        <v>72</v>
      </c>
      <c r="F6" s="5" t="s">
        <v>17</v>
      </c>
      <c r="G6" s="5" t="s">
        <v>14</v>
      </c>
      <c r="H6" s="5" t="s">
        <v>11</v>
      </c>
      <c r="I6" s="5">
        <v>1822.08</v>
      </c>
      <c r="J6" s="5">
        <v>4</v>
      </c>
      <c r="K6" s="5">
        <v>0</v>
      </c>
      <c r="L6" s="5">
        <v>564.84</v>
      </c>
      <c r="M6" s="6" t="s">
        <v>27</v>
      </c>
      <c r="S6" t="s">
        <v>613</v>
      </c>
    </row>
    <row r="7" spans="1:19" ht="15.75" x14ac:dyDescent="0.25">
      <c r="A7" s="9" t="s">
        <v>179</v>
      </c>
      <c r="B7" s="5"/>
      <c r="C7" s="5"/>
      <c r="D7" s="5" t="s">
        <v>180</v>
      </c>
      <c r="E7" s="5" t="s">
        <v>72</v>
      </c>
      <c r="F7" s="5" t="s">
        <v>17</v>
      </c>
      <c r="G7" s="5" t="s">
        <v>14</v>
      </c>
      <c r="H7" s="5" t="s">
        <v>31</v>
      </c>
      <c r="I7" s="5">
        <v>5244.84</v>
      </c>
      <c r="J7" s="5">
        <v>6</v>
      </c>
      <c r="K7" s="5">
        <v>0</v>
      </c>
      <c r="L7" s="5">
        <v>996.48</v>
      </c>
      <c r="M7" s="6" t="s">
        <v>8</v>
      </c>
      <c r="S7" t="s">
        <v>614</v>
      </c>
    </row>
    <row r="8" spans="1:19" ht="15.75" x14ac:dyDescent="0.25">
      <c r="A8" s="4" t="s">
        <v>181</v>
      </c>
      <c r="B8" s="7">
        <v>41954</v>
      </c>
      <c r="C8" s="5" t="s">
        <v>182</v>
      </c>
      <c r="D8" s="5" t="s">
        <v>183</v>
      </c>
      <c r="E8" s="5" t="s">
        <v>5</v>
      </c>
      <c r="F8" s="5" t="s">
        <v>52</v>
      </c>
      <c r="G8" s="5" t="s">
        <v>14</v>
      </c>
      <c r="H8" s="5" t="s">
        <v>18</v>
      </c>
      <c r="I8" s="5">
        <v>341.96</v>
      </c>
      <c r="J8" s="5">
        <v>2</v>
      </c>
      <c r="K8" s="5">
        <v>0</v>
      </c>
      <c r="L8" s="5">
        <v>54.7136</v>
      </c>
      <c r="M8" s="6" t="s">
        <v>8</v>
      </c>
      <c r="S8" t="s">
        <v>615</v>
      </c>
    </row>
    <row r="9" spans="1:19" ht="15.75" x14ac:dyDescent="0.25">
      <c r="A9" s="4" t="s">
        <v>184</v>
      </c>
      <c r="B9" s="7">
        <v>41063</v>
      </c>
      <c r="C9" s="7">
        <v>41093</v>
      </c>
      <c r="D9" s="5" t="s">
        <v>183</v>
      </c>
      <c r="E9" s="5" t="s">
        <v>5</v>
      </c>
      <c r="F9" s="5" t="s">
        <v>39</v>
      </c>
      <c r="G9" s="5" t="s">
        <v>14</v>
      </c>
      <c r="H9" s="5" t="s">
        <v>3</v>
      </c>
      <c r="I9" s="5">
        <v>48.712000000000003</v>
      </c>
      <c r="J9" s="5">
        <v>1</v>
      </c>
      <c r="K9" s="5"/>
      <c r="L9" s="5">
        <v>5.4801000000000002</v>
      </c>
      <c r="M9" s="6" t="s">
        <v>8</v>
      </c>
    </row>
    <row r="10" spans="1:19" ht="15.75" x14ac:dyDescent="0.25">
      <c r="A10" s="4" t="s">
        <v>184</v>
      </c>
      <c r="B10" s="7">
        <v>41063</v>
      </c>
      <c r="C10" s="7">
        <v>41093</v>
      </c>
      <c r="D10" s="8" t="s">
        <v>183</v>
      </c>
      <c r="E10" s="5"/>
      <c r="F10" s="5" t="s">
        <v>39</v>
      </c>
      <c r="G10" s="5" t="s">
        <v>10</v>
      </c>
      <c r="H10" s="5" t="s">
        <v>7</v>
      </c>
      <c r="I10" s="5" t="s">
        <v>185</v>
      </c>
      <c r="J10" s="5">
        <v>3</v>
      </c>
      <c r="K10" s="5">
        <v>0</v>
      </c>
      <c r="L10" s="5">
        <v>26.647123529999998</v>
      </c>
      <c r="M10" s="6" t="s">
        <v>8</v>
      </c>
      <c r="P10" t="s">
        <v>622</v>
      </c>
    </row>
    <row r="11" spans="1:19" ht="15.75" x14ac:dyDescent="0.25">
      <c r="A11" s="4" t="s">
        <v>186</v>
      </c>
      <c r="B11" s="5" t="s">
        <v>187</v>
      </c>
      <c r="C11" s="10">
        <v>41386</v>
      </c>
      <c r="D11" s="5" t="s">
        <v>188</v>
      </c>
      <c r="E11" s="5" t="s">
        <v>189</v>
      </c>
      <c r="F11" s="5" t="s">
        <v>34</v>
      </c>
      <c r="G11" s="5" t="s">
        <v>14</v>
      </c>
      <c r="H11" s="5" t="s">
        <v>3</v>
      </c>
      <c r="I11" s="5">
        <v>4626.1499999999996</v>
      </c>
      <c r="J11" s="5">
        <v>5</v>
      </c>
      <c r="K11" s="5">
        <v>0</v>
      </c>
      <c r="L11" s="5"/>
      <c r="M11" s="6" t="s">
        <v>8</v>
      </c>
    </row>
    <row r="12" spans="1:19" ht="15.75" x14ac:dyDescent="0.25">
      <c r="A12" s="4" t="s">
        <v>190</v>
      </c>
      <c r="B12" s="5" t="s">
        <v>96</v>
      </c>
      <c r="C12" s="5"/>
      <c r="D12" s="5" t="s">
        <v>135</v>
      </c>
      <c r="E12" s="5" t="s">
        <v>59</v>
      </c>
      <c r="F12" s="5" t="s">
        <v>30</v>
      </c>
      <c r="G12" s="5" t="s">
        <v>2</v>
      </c>
      <c r="H12" s="5" t="s">
        <v>191</v>
      </c>
      <c r="I12" s="5">
        <v>2616.96</v>
      </c>
      <c r="J12" s="5">
        <v>4</v>
      </c>
      <c r="K12" s="5">
        <v>0</v>
      </c>
      <c r="L12" s="5">
        <v>1151.4000000000001</v>
      </c>
      <c r="M12" s="6" t="s">
        <v>27</v>
      </c>
    </row>
    <row r="13" spans="1:19" ht="15.75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1:19" ht="15.75" x14ac:dyDescent="0.25">
      <c r="A14" s="4" t="s">
        <v>192</v>
      </c>
      <c r="B14" s="7">
        <v>41796</v>
      </c>
      <c r="C14" s="7">
        <v>41857</v>
      </c>
      <c r="D14" s="5" t="s">
        <v>193</v>
      </c>
      <c r="E14" s="5" t="s">
        <v>50</v>
      </c>
      <c r="F14" s="5" t="s">
        <v>194</v>
      </c>
      <c r="G14" s="5" t="s">
        <v>10</v>
      </c>
      <c r="H14" s="5" t="s">
        <v>31</v>
      </c>
      <c r="I14" s="5">
        <v>3701.52</v>
      </c>
      <c r="J14" s="5">
        <v>12</v>
      </c>
      <c r="K14" s="5">
        <v>0</v>
      </c>
      <c r="L14" s="5">
        <v>1036.08</v>
      </c>
      <c r="M14" s="6" t="s">
        <v>27</v>
      </c>
    </row>
    <row r="15" spans="1:19" ht="15.75" x14ac:dyDescent="0.25">
      <c r="A15" s="4" t="s">
        <v>195</v>
      </c>
      <c r="B15" s="5" t="s">
        <v>196</v>
      </c>
      <c r="C15" s="7">
        <v>42071</v>
      </c>
      <c r="D15" s="5" t="s">
        <v>197</v>
      </c>
      <c r="E15" s="5" t="s">
        <v>12</v>
      </c>
      <c r="F15" s="5" t="s">
        <v>13</v>
      </c>
      <c r="G15" s="5" t="s">
        <v>10</v>
      </c>
      <c r="H15" s="5" t="s">
        <v>18</v>
      </c>
      <c r="I15" s="5">
        <v>1869.588</v>
      </c>
      <c r="J15" s="5">
        <v>4</v>
      </c>
      <c r="K15" s="5">
        <v>0.1</v>
      </c>
      <c r="L15" s="5"/>
      <c r="M15" s="6" t="s">
        <v>27</v>
      </c>
    </row>
    <row r="16" spans="1:19" ht="15.75" x14ac:dyDescent="0.25">
      <c r="A16" s="4" t="s">
        <v>198</v>
      </c>
      <c r="B16" s="5" t="s">
        <v>199</v>
      </c>
      <c r="C16" s="5" t="s">
        <v>140</v>
      </c>
      <c r="D16" s="5" t="s">
        <v>183</v>
      </c>
      <c r="E16" s="5" t="s">
        <v>5</v>
      </c>
      <c r="F16" s="5" t="s">
        <v>52</v>
      </c>
      <c r="G16" s="5" t="s">
        <v>10</v>
      </c>
      <c r="H16" s="5" t="s">
        <v>24</v>
      </c>
      <c r="I16" s="5">
        <v>12.624000000000001</v>
      </c>
      <c r="J16" s="5">
        <v>2</v>
      </c>
      <c r="K16" s="5">
        <v>0.2</v>
      </c>
      <c r="L16" s="5">
        <v>-2.5247999999999999</v>
      </c>
      <c r="M16" s="6" t="s">
        <v>25</v>
      </c>
    </row>
    <row r="17" spans="1:13" ht="15.75" x14ac:dyDescent="0.25">
      <c r="A17" s="4" t="s">
        <v>200</v>
      </c>
      <c r="B17" s="7">
        <v>42225</v>
      </c>
      <c r="C17" s="5" t="s">
        <v>95</v>
      </c>
      <c r="D17" s="5"/>
      <c r="E17" s="5" t="s">
        <v>54</v>
      </c>
      <c r="F17" s="5" t="s">
        <v>67</v>
      </c>
      <c r="G17" s="5" t="s">
        <v>10</v>
      </c>
      <c r="H17" s="5" t="s">
        <v>24</v>
      </c>
      <c r="I17" s="5" t="s">
        <v>201</v>
      </c>
      <c r="J17" s="5">
        <v>14</v>
      </c>
      <c r="K17" s="5">
        <v>0</v>
      </c>
      <c r="L17" s="5">
        <v>3979.08</v>
      </c>
      <c r="M17" s="6" t="s">
        <v>25</v>
      </c>
    </row>
    <row r="18" spans="1:13" ht="15.75" x14ac:dyDescent="0.25">
      <c r="A18" s="4" t="s">
        <v>202</v>
      </c>
      <c r="B18" s="5" t="s">
        <v>203</v>
      </c>
      <c r="C18" s="7">
        <v>42006</v>
      </c>
      <c r="D18" s="5" t="s">
        <v>204</v>
      </c>
      <c r="E18" s="5" t="s">
        <v>16</v>
      </c>
      <c r="F18" s="5" t="s">
        <v>17</v>
      </c>
      <c r="G18" s="5"/>
      <c r="H18" s="5" t="s">
        <v>22</v>
      </c>
      <c r="I18" s="5">
        <v>2565.5940000000001</v>
      </c>
      <c r="J18" s="5">
        <v>9</v>
      </c>
      <c r="K18" s="5"/>
      <c r="L18" s="5"/>
      <c r="M18" s="6" t="s">
        <v>27</v>
      </c>
    </row>
    <row r="19" spans="1:13" ht="15.75" x14ac:dyDescent="0.25">
      <c r="A19" s="4" t="s">
        <v>205</v>
      </c>
      <c r="B19" s="7">
        <v>42136</v>
      </c>
      <c r="C19" s="7">
        <v>42197</v>
      </c>
      <c r="D19" s="5" t="s">
        <v>41</v>
      </c>
      <c r="E19" s="5" t="s">
        <v>117</v>
      </c>
      <c r="F19" s="5" t="s">
        <v>26</v>
      </c>
      <c r="G19" s="5" t="s">
        <v>10</v>
      </c>
      <c r="H19" s="5" t="s">
        <v>24</v>
      </c>
      <c r="I19" s="5">
        <v>3409.74</v>
      </c>
      <c r="J19" s="5">
        <v>6</v>
      </c>
      <c r="K19" s="5">
        <v>0</v>
      </c>
      <c r="L19" s="5">
        <v>818.28</v>
      </c>
      <c r="M19" s="6" t="s">
        <v>8</v>
      </c>
    </row>
    <row r="20" spans="1:13" ht="15.75" x14ac:dyDescent="0.25">
      <c r="A20" s="4" t="s">
        <v>206</v>
      </c>
      <c r="B20" s="7">
        <v>41494</v>
      </c>
      <c r="C20" s="7">
        <v>41555</v>
      </c>
      <c r="D20" s="8" t="s">
        <v>207</v>
      </c>
      <c r="E20" s="5"/>
      <c r="F20" s="5" t="s">
        <v>32</v>
      </c>
      <c r="G20" s="5" t="s">
        <v>14</v>
      </c>
      <c r="H20" s="5" t="s">
        <v>11</v>
      </c>
      <c r="I20" s="5">
        <v>1977.72</v>
      </c>
      <c r="J20" s="5">
        <v>4</v>
      </c>
      <c r="K20" s="5">
        <v>0</v>
      </c>
      <c r="L20" s="5">
        <v>276.83999999999997</v>
      </c>
      <c r="M20" s="6" t="s">
        <v>27</v>
      </c>
    </row>
    <row r="21" spans="1:13" ht="15.75" x14ac:dyDescent="0.25">
      <c r="A21" s="4" t="s">
        <v>184</v>
      </c>
      <c r="B21" s="7">
        <v>41063</v>
      </c>
      <c r="C21" s="7">
        <v>41093</v>
      </c>
      <c r="D21" s="5" t="s">
        <v>183</v>
      </c>
      <c r="E21" s="5" t="s">
        <v>5</v>
      </c>
      <c r="F21" s="5" t="s">
        <v>39</v>
      </c>
      <c r="G21" s="5" t="s">
        <v>10</v>
      </c>
      <c r="H21" s="5" t="s">
        <v>24</v>
      </c>
      <c r="I21" s="5">
        <v>242.94</v>
      </c>
      <c r="J21" s="5">
        <v>3</v>
      </c>
      <c r="K21" s="5">
        <v>0</v>
      </c>
      <c r="L21" s="5">
        <v>4.8587999999999996</v>
      </c>
      <c r="M21" s="6" t="s">
        <v>8</v>
      </c>
    </row>
    <row r="22" spans="1:13" ht="15.75" x14ac:dyDescent="0.25">
      <c r="A22" s="4" t="s">
        <v>208</v>
      </c>
      <c r="B22" s="7">
        <v>40913</v>
      </c>
      <c r="C22" s="7">
        <v>40944</v>
      </c>
      <c r="D22" s="5" t="s">
        <v>209</v>
      </c>
      <c r="E22" s="5" t="s">
        <v>50</v>
      </c>
      <c r="F22" s="5" t="s">
        <v>51</v>
      </c>
      <c r="G22" s="5" t="s">
        <v>14</v>
      </c>
      <c r="H22" s="5" t="s">
        <v>3</v>
      </c>
      <c r="I22" s="5">
        <v>2754</v>
      </c>
      <c r="J22" s="5">
        <v>6</v>
      </c>
      <c r="K22" s="5">
        <v>0</v>
      </c>
      <c r="L22" s="5">
        <v>358.02</v>
      </c>
      <c r="M22" s="6" t="s">
        <v>27</v>
      </c>
    </row>
    <row r="23" spans="1:13" ht="15.75" x14ac:dyDescent="0.25">
      <c r="A23" s="4" t="s">
        <v>210</v>
      </c>
      <c r="B23" s="5" t="s">
        <v>64</v>
      </c>
      <c r="C23" s="7">
        <v>41642</v>
      </c>
      <c r="D23" s="5" t="s">
        <v>211</v>
      </c>
      <c r="E23" s="5" t="s">
        <v>0</v>
      </c>
      <c r="F23" s="5" t="s">
        <v>1</v>
      </c>
      <c r="G23" s="5" t="s">
        <v>10</v>
      </c>
      <c r="H23" s="5" t="s">
        <v>31</v>
      </c>
      <c r="I23" s="5">
        <v>5273.7</v>
      </c>
      <c r="J23" s="5">
        <v>10</v>
      </c>
      <c r="K23" s="5"/>
      <c r="L23" s="5">
        <v>1898.4</v>
      </c>
      <c r="M23" s="6" t="s">
        <v>8</v>
      </c>
    </row>
    <row r="24" spans="1:13" ht="15.75" x14ac:dyDescent="0.25">
      <c r="A24" s="4" t="s">
        <v>212</v>
      </c>
      <c r="B24" s="5" t="s">
        <v>196</v>
      </c>
      <c r="C24" s="7">
        <v>42012</v>
      </c>
      <c r="D24" s="5" t="s">
        <v>213</v>
      </c>
      <c r="E24" s="5" t="s">
        <v>60</v>
      </c>
      <c r="F24" s="5" t="s">
        <v>61</v>
      </c>
      <c r="G24" s="5" t="s">
        <v>2</v>
      </c>
      <c r="H24" s="5" t="s">
        <v>18</v>
      </c>
      <c r="I24" s="5">
        <v>1713.84</v>
      </c>
      <c r="J24" s="5">
        <v>4</v>
      </c>
      <c r="K24" s="5">
        <v>0</v>
      </c>
      <c r="L24" s="5">
        <v>445.52</v>
      </c>
      <c r="M24" s="6" t="s">
        <v>27</v>
      </c>
    </row>
    <row r="25" spans="1:13" ht="15.75" x14ac:dyDescent="0.25">
      <c r="A25" s="4" t="s">
        <v>214</v>
      </c>
      <c r="B25" s="7">
        <v>42133</v>
      </c>
      <c r="C25" s="7">
        <v>42225</v>
      </c>
      <c r="D25" s="5" t="s">
        <v>215</v>
      </c>
      <c r="E25" s="5" t="s">
        <v>113</v>
      </c>
      <c r="F25" s="5" t="s">
        <v>61</v>
      </c>
      <c r="G25" s="5" t="s">
        <v>14</v>
      </c>
      <c r="H25" s="5" t="s">
        <v>24</v>
      </c>
      <c r="I25" s="5">
        <v>2106.4960000000001</v>
      </c>
      <c r="J25" s="5">
        <v>8</v>
      </c>
      <c r="K25" s="5">
        <v>0.2</v>
      </c>
      <c r="L25" s="5">
        <v>526.49599999999998</v>
      </c>
      <c r="M25" s="6" t="s">
        <v>27</v>
      </c>
    </row>
    <row r="26" spans="1:13" ht="15.75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ht="15.75" x14ac:dyDescent="0.25">
      <c r="A27" s="9" t="s">
        <v>219</v>
      </c>
      <c r="B27" s="5"/>
      <c r="C27" s="5" t="s">
        <v>220</v>
      </c>
      <c r="D27" s="5" t="s">
        <v>221</v>
      </c>
      <c r="E27" s="5" t="s">
        <v>20</v>
      </c>
      <c r="F27" s="5" t="s">
        <v>127</v>
      </c>
      <c r="G27" s="5" t="s">
        <v>125</v>
      </c>
      <c r="H27" s="5" t="s">
        <v>3</v>
      </c>
      <c r="I27" s="5">
        <v>3069.7379999999998</v>
      </c>
      <c r="J27" s="5">
        <v>6</v>
      </c>
      <c r="K27" s="5">
        <v>0.1</v>
      </c>
      <c r="L27" s="5">
        <v>1364.2380000000001</v>
      </c>
      <c r="M27" s="6" t="s">
        <v>27</v>
      </c>
    </row>
    <row r="28" spans="1:13" ht="15.75" x14ac:dyDescent="0.25">
      <c r="A28" s="4" t="s">
        <v>222</v>
      </c>
      <c r="B28" s="5" t="s">
        <v>223</v>
      </c>
      <c r="C28" s="5" t="s">
        <v>224</v>
      </c>
      <c r="D28" s="5" t="s">
        <v>225</v>
      </c>
      <c r="E28" s="5" t="s">
        <v>5</v>
      </c>
      <c r="F28" s="5" t="s">
        <v>6</v>
      </c>
      <c r="G28" s="5" t="s">
        <v>10</v>
      </c>
      <c r="H28" s="5" t="s">
        <v>3</v>
      </c>
      <c r="I28" s="5">
        <v>247.84</v>
      </c>
      <c r="J28" s="5">
        <v>8</v>
      </c>
      <c r="K28" s="5">
        <v>0</v>
      </c>
      <c r="L28" s="5">
        <v>121.44159999999999</v>
      </c>
      <c r="M28" s="6" t="s">
        <v>27</v>
      </c>
    </row>
    <row r="29" spans="1:13" ht="15.75" x14ac:dyDescent="0.25">
      <c r="A29" s="4" t="s">
        <v>226</v>
      </c>
      <c r="B29" s="5" t="s">
        <v>227</v>
      </c>
      <c r="C29" s="5" t="s">
        <v>227</v>
      </c>
      <c r="D29" s="5" t="s">
        <v>119</v>
      </c>
      <c r="E29" s="5" t="s">
        <v>38</v>
      </c>
      <c r="F29" s="5" t="s">
        <v>34</v>
      </c>
      <c r="G29" s="5" t="s">
        <v>14</v>
      </c>
      <c r="H29" s="5" t="s">
        <v>24</v>
      </c>
      <c r="I29" s="5">
        <v>1878.72</v>
      </c>
      <c r="J29" s="5">
        <v>4</v>
      </c>
      <c r="K29" s="5"/>
      <c r="L29" s="5">
        <v>582.36</v>
      </c>
      <c r="M29" s="6" t="s">
        <v>27</v>
      </c>
    </row>
    <row r="30" spans="1:13" ht="15.75" x14ac:dyDescent="0.25">
      <c r="A30" s="4" t="s">
        <v>228</v>
      </c>
      <c r="B30" s="5" t="s">
        <v>100</v>
      </c>
      <c r="C30" s="10">
        <v>41272</v>
      </c>
      <c r="D30" s="5" t="s">
        <v>229</v>
      </c>
      <c r="E30" s="5" t="s">
        <v>146</v>
      </c>
      <c r="F30" s="5" t="s">
        <v>29</v>
      </c>
      <c r="G30" s="5" t="s">
        <v>2</v>
      </c>
      <c r="H30" s="5" t="s">
        <v>31</v>
      </c>
      <c r="I30" s="5">
        <v>1696.64</v>
      </c>
      <c r="J30" s="5">
        <v>5</v>
      </c>
      <c r="K30" s="5"/>
      <c r="L30" s="5">
        <v>-148.46</v>
      </c>
      <c r="M30" s="6" t="s">
        <v>27</v>
      </c>
    </row>
    <row r="31" spans="1:13" ht="15.75" x14ac:dyDescent="0.25">
      <c r="A31" s="4" t="s">
        <v>230</v>
      </c>
      <c r="B31" s="5" t="s">
        <v>231</v>
      </c>
      <c r="C31" s="5" t="s">
        <v>232</v>
      </c>
      <c r="D31" s="5" t="s">
        <v>233</v>
      </c>
      <c r="E31" s="5" t="s">
        <v>12</v>
      </c>
      <c r="F31" s="5" t="s">
        <v>13</v>
      </c>
      <c r="G31" s="5" t="s">
        <v>2</v>
      </c>
      <c r="H31" s="5" t="s">
        <v>18</v>
      </c>
      <c r="I31" s="5">
        <v>2402.8649999999998</v>
      </c>
      <c r="J31" s="5">
        <v>9</v>
      </c>
      <c r="K31" s="5">
        <v>0.15</v>
      </c>
      <c r="L31" s="5">
        <v>763.15499999999997</v>
      </c>
      <c r="M31" s="6" t="s">
        <v>27</v>
      </c>
    </row>
    <row r="32" spans="1:13" ht="15.75" x14ac:dyDescent="0.25">
      <c r="A32" s="4" t="s">
        <v>234</v>
      </c>
      <c r="B32" s="5" t="s">
        <v>235</v>
      </c>
      <c r="C32" s="5" t="s">
        <v>109</v>
      </c>
      <c r="D32" s="5" t="s">
        <v>225</v>
      </c>
      <c r="E32" s="5" t="s">
        <v>5</v>
      </c>
      <c r="F32" s="5" t="s">
        <v>39</v>
      </c>
      <c r="G32" s="5" t="s">
        <v>2</v>
      </c>
      <c r="H32" s="5" t="s">
        <v>31</v>
      </c>
      <c r="I32" s="5">
        <v>668.16</v>
      </c>
      <c r="J32" s="5">
        <v>9</v>
      </c>
      <c r="K32" s="5">
        <v>0.2</v>
      </c>
      <c r="L32" s="5">
        <v>75.168000000000006</v>
      </c>
      <c r="M32" s="6" t="s">
        <v>4</v>
      </c>
    </row>
    <row r="33" spans="1:13" ht="15.75" x14ac:dyDescent="0.25">
      <c r="A33" s="4" t="s">
        <v>236</v>
      </c>
      <c r="B33" s="5" t="s">
        <v>112</v>
      </c>
      <c r="C33" s="7">
        <v>41010</v>
      </c>
      <c r="D33" s="5" t="s">
        <v>237</v>
      </c>
      <c r="E33" s="5" t="s">
        <v>16</v>
      </c>
      <c r="F33" s="5" t="s">
        <v>17</v>
      </c>
      <c r="G33" s="5" t="s">
        <v>10</v>
      </c>
      <c r="H33" s="5" t="s">
        <v>48</v>
      </c>
      <c r="I33" s="5">
        <v>2526.9299999999998</v>
      </c>
      <c r="J33" s="5">
        <v>5</v>
      </c>
      <c r="K33" s="5">
        <v>0.1</v>
      </c>
      <c r="L33" s="5">
        <v>561.48</v>
      </c>
      <c r="M33" s="6" t="s">
        <v>27</v>
      </c>
    </row>
    <row r="34" spans="1:13" ht="15.75" x14ac:dyDescent="0.25">
      <c r="A34" s="4" t="s">
        <v>238</v>
      </c>
      <c r="B34" s="5" t="s">
        <v>235</v>
      </c>
      <c r="C34" s="5" t="s">
        <v>109</v>
      </c>
      <c r="D34" s="5" t="s">
        <v>225</v>
      </c>
      <c r="E34" s="5" t="s">
        <v>5</v>
      </c>
      <c r="F34" s="5" t="s">
        <v>39</v>
      </c>
      <c r="G34" s="5" t="s">
        <v>10</v>
      </c>
      <c r="H34" s="5" t="s">
        <v>18</v>
      </c>
      <c r="I34" s="5">
        <v>323.10000000000002</v>
      </c>
      <c r="J34" s="5">
        <v>2</v>
      </c>
      <c r="K34" s="5">
        <v>0</v>
      </c>
      <c r="L34" s="5">
        <v>61.389000000000003</v>
      </c>
      <c r="M34" s="6" t="s">
        <v>4</v>
      </c>
    </row>
    <row r="35" spans="1:13" ht="31.5" x14ac:dyDescent="0.25">
      <c r="A35" s="4" t="s">
        <v>239</v>
      </c>
      <c r="B35" s="5" t="s">
        <v>92</v>
      </c>
      <c r="C35" s="5" t="s">
        <v>240</v>
      </c>
      <c r="D35" s="5" t="s">
        <v>225</v>
      </c>
      <c r="E35" s="5" t="s">
        <v>124</v>
      </c>
      <c r="F35" s="5" t="s">
        <v>28</v>
      </c>
      <c r="G35" s="5" t="s">
        <v>81</v>
      </c>
      <c r="H35" s="5" t="s">
        <v>24</v>
      </c>
      <c r="I35" s="5">
        <v>3817.26</v>
      </c>
      <c r="J35" s="5">
        <v>6</v>
      </c>
      <c r="K35" s="5">
        <v>0</v>
      </c>
      <c r="L35" s="5">
        <v>1068.6600000000001</v>
      </c>
      <c r="M35" s="6" t="s">
        <v>8</v>
      </c>
    </row>
    <row r="36" spans="1:13" ht="15.75" x14ac:dyDescent="0.25">
      <c r="A36" s="4" t="s">
        <v>241</v>
      </c>
      <c r="B36" s="7">
        <v>41248</v>
      </c>
      <c r="C36" s="10">
        <v>41047</v>
      </c>
      <c r="D36" s="5" t="s">
        <v>225</v>
      </c>
      <c r="E36" s="5" t="s">
        <v>5</v>
      </c>
      <c r="F36" s="5" t="s">
        <v>39</v>
      </c>
      <c r="G36" s="5" t="s">
        <v>14</v>
      </c>
      <c r="H36" s="5" t="s">
        <v>3</v>
      </c>
      <c r="I36" s="5">
        <v>279.45600000000002</v>
      </c>
      <c r="J36" s="5">
        <v>6</v>
      </c>
      <c r="K36" s="5">
        <v>0.2</v>
      </c>
      <c r="L36" s="5">
        <v>20.959199999999999</v>
      </c>
      <c r="M36" s="6" t="s">
        <v>4</v>
      </c>
    </row>
    <row r="37" spans="1:13" ht="15.75" x14ac:dyDescent="0.25">
      <c r="A37" s="4" t="s">
        <v>242</v>
      </c>
      <c r="B37" s="5" t="s">
        <v>243</v>
      </c>
      <c r="C37" s="5" t="s">
        <v>101</v>
      </c>
      <c r="D37" s="5"/>
      <c r="E37" s="5" t="s">
        <v>5</v>
      </c>
      <c r="F37" s="5" t="s">
        <v>6</v>
      </c>
      <c r="G37" s="5" t="s">
        <v>2</v>
      </c>
      <c r="H37" s="5" t="s">
        <v>31</v>
      </c>
      <c r="I37" s="5">
        <v>34.770000000000003</v>
      </c>
      <c r="J37" s="5">
        <v>3</v>
      </c>
      <c r="K37" s="5">
        <v>0</v>
      </c>
      <c r="L37" s="5">
        <v>11.4741</v>
      </c>
      <c r="M37" s="6" t="s">
        <v>8</v>
      </c>
    </row>
    <row r="38" spans="1:13" ht="15.75" x14ac:dyDescent="0.25">
      <c r="A38" s="4" t="s">
        <v>244</v>
      </c>
      <c r="B38" s="5" t="s">
        <v>245</v>
      </c>
      <c r="C38" s="5" t="s">
        <v>246</v>
      </c>
      <c r="D38" s="5"/>
      <c r="E38" s="5" t="s">
        <v>0</v>
      </c>
      <c r="F38" s="5" t="s">
        <v>1</v>
      </c>
      <c r="G38" s="5" t="s">
        <v>2</v>
      </c>
      <c r="H38" s="5" t="s">
        <v>48</v>
      </c>
      <c r="I38" s="5">
        <v>4141.0200000000004</v>
      </c>
      <c r="J38" s="5">
        <v>13</v>
      </c>
      <c r="K38" s="5">
        <v>0</v>
      </c>
      <c r="L38" s="5">
        <v>1697.67</v>
      </c>
      <c r="M38" s="6" t="s">
        <v>8</v>
      </c>
    </row>
    <row r="39" spans="1:13" ht="15.75" x14ac:dyDescent="0.25">
      <c r="A39" s="4" t="s">
        <v>247</v>
      </c>
      <c r="B39" s="7">
        <v>41183</v>
      </c>
      <c r="C39" s="7">
        <v>40919</v>
      </c>
      <c r="D39" s="5" t="s">
        <v>248</v>
      </c>
      <c r="E39" s="5" t="s">
        <v>16</v>
      </c>
      <c r="F39" s="5" t="s">
        <v>17</v>
      </c>
      <c r="G39" s="5" t="s">
        <v>2</v>
      </c>
      <c r="H39" s="5" t="s">
        <v>48</v>
      </c>
      <c r="I39" s="5">
        <v>2875.0949999999998</v>
      </c>
      <c r="J39" s="5">
        <v>5</v>
      </c>
      <c r="K39" s="5">
        <v>0.1</v>
      </c>
      <c r="L39" s="5">
        <v>511.09500000000003</v>
      </c>
      <c r="M39" s="6" t="s">
        <v>4</v>
      </c>
    </row>
    <row r="40" spans="1:13" ht="15.75" x14ac:dyDescent="0.25">
      <c r="A40" s="4" t="s">
        <v>249</v>
      </c>
      <c r="B40" s="5" t="s">
        <v>76</v>
      </c>
      <c r="C40" s="5" t="s">
        <v>250</v>
      </c>
      <c r="D40" s="5" t="s">
        <v>251</v>
      </c>
      <c r="E40" s="5" t="s">
        <v>74</v>
      </c>
      <c r="F40" s="5" t="s">
        <v>43</v>
      </c>
      <c r="G40" s="5" t="s">
        <v>2</v>
      </c>
      <c r="H40" s="5" t="s">
        <v>11</v>
      </c>
      <c r="I40" s="5">
        <v>3200.5962</v>
      </c>
      <c r="J40" s="5">
        <v>6</v>
      </c>
      <c r="K40" s="5">
        <v>0.17</v>
      </c>
      <c r="L40" s="5">
        <v>-77.203800000000001</v>
      </c>
      <c r="M40" s="6" t="s">
        <v>8</v>
      </c>
    </row>
    <row r="41" spans="1:13" ht="15.75" x14ac:dyDescent="0.25">
      <c r="A41" s="4" t="s">
        <v>252</v>
      </c>
      <c r="B41" s="7">
        <v>42319</v>
      </c>
      <c r="C41" s="5" t="s">
        <v>253</v>
      </c>
      <c r="D41" s="5" t="s">
        <v>254</v>
      </c>
      <c r="E41" s="5" t="s">
        <v>38</v>
      </c>
      <c r="F41" s="5" t="s">
        <v>34</v>
      </c>
      <c r="G41" s="5" t="s">
        <v>2</v>
      </c>
      <c r="H41" s="5" t="s">
        <v>31</v>
      </c>
      <c r="I41" s="5">
        <v>4518.78</v>
      </c>
      <c r="J41" s="5">
        <v>7</v>
      </c>
      <c r="K41" s="5">
        <v>0</v>
      </c>
      <c r="L41" s="5">
        <v>632.52</v>
      </c>
      <c r="M41" s="6" t="s">
        <v>8</v>
      </c>
    </row>
    <row r="42" spans="1:13" ht="15.75" x14ac:dyDescent="0.25">
      <c r="A42" s="4" t="s">
        <v>255</v>
      </c>
      <c r="B42" s="5" t="s">
        <v>256</v>
      </c>
      <c r="C42" s="5" t="s">
        <v>257</v>
      </c>
      <c r="D42" s="5" t="s">
        <v>258</v>
      </c>
      <c r="E42" s="5" t="s">
        <v>38</v>
      </c>
      <c r="F42" s="5" t="s">
        <v>34</v>
      </c>
      <c r="G42" s="5" t="s">
        <v>14</v>
      </c>
      <c r="H42" s="5" t="s">
        <v>31</v>
      </c>
      <c r="I42" s="5">
        <v>5667.87</v>
      </c>
      <c r="J42" s="5">
        <v>13</v>
      </c>
      <c r="K42" s="5">
        <v>0</v>
      </c>
      <c r="L42" s="5">
        <v>2097.0300000000002</v>
      </c>
      <c r="M42" s="6" t="s">
        <v>4</v>
      </c>
    </row>
    <row r="43" spans="1:13" ht="15.75" x14ac:dyDescent="0.25">
      <c r="A43" s="4" t="s">
        <v>259</v>
      </c>
      <c r="B43" s="5" t="s">
        <v>260</v>
      </c>
      <c r="C43" s="5" t="s">
        <v>261</v>
      </c>
      <c r="D43" s="5" t="s">
        <v>262</v>
      </c>
      <c r="E43" s="5" t="s">
        <v>0</v>
      </c>
      <c r="F43" s="5" t="s">
        <v>1</v>
      </c>
      <c r="G43" s="5" t="s">
        <v>2</v>
      </c>
      <c r="H43" s="5" t="s">
        <v>31</v>
      </c>
      <c r="I43" s="5">
        <v>5785.02</v>
      </c>
      <c r="J43" s="5">
        <v>9</v>
      </c>
      <c r="K43" s="5">
        <v>0</v>
      </c>
      <c r="L43" s="5">
        <v>404.73</v>
      </c>
      <c r="M43" s="6" t="s">
        <v>8</v>
      </c>
    </row>
    <row r="44" spans="1:13" ht="15.75" x14ac:dyDescent="0.25">
      <c r="A44" s="4" t="s">
        <v>263</v>
      </c>
      <c r="B44" s="5" t="s">
        <v>145</v>
      </c>
      <c r="C44" s="5" t="s">
        <v>264</v>
      </c>
      <c r="D44" s="5" t="s">
        <v>265</v>
      </c>
      <c r="E44" s="5" t="s">
        <v>20</v>
      </c>
      <c r="F44" s="5" t="s">
        <v>13</v>
      </c>
      <c r="G44" s="5" t="s">
        <v>10</v>
      </c>
      <c r="H44" s="5" t="s">
        <v>21</v>
      </c>
      <c r="I44" s="5">
        <v>3018.6239999999998</v>
      </c>
      <c r="J44" s="5">
        <v>7</v>
      </c>
      <c r="K44" s="5">
        <v>0.2</v>
      </c>
      <c r="L44" s="5">
        <v>377.24400000000003</v>
      </c>
      <c r="M44" s="6" t="s">
        <v>27</v>
      </c>
    </row>
    <row r="45" spans="1:13" ht="15.75" x14ac:dyDescent="0.25">
      <c r="A45" s="4" t="s">
        <v>266</v>
      </c>
      <c r="B45" s="5" t="s">
        <v>267</v>
      </c>
      <c r="C45" s="5" t="s">
        <v>268</v>
      </c>
      <c r="D45" s="5"/>
      <c r="E45" s="5" t="s">
        <v>5</v>
      </c>
      <c r="F45" s="5" t="s">
        <v>85</v>
      </c>
      <c r="G45" s="5" t="s">
        <v>14</v>
      </c>
      <c r="H45" s="5" t="s">
        <v>31</v>
      </c>
      <c r="I45" s="5">
        <v>86.45</v>
      </c>
      <c r="J45" s="5">
        <v>7</v>
      </c>
      <c r="K45" s="5">
        <v>0</v>
      </c>
      <c r="L45" s="5"/>
      <c r="M45" s="6" t="s">
        <v>4</v>
      </c>
    </row>
    <row r="46" spans="1:13" ht="15.75" x14ac:dyDescent="0.25">
      <c r="A46" s="4" t="s">
        <v>269</v>
      </c>
      <c r="B46" s="7">
        <v>41854</v>
      </c>
      <c r="C46" s="7">
        <v>41706</v>
      </c>
      <c r="D46" s="5" t="s">
        <v>270</v>
      </c>
      <c r="E46" s="5" t="s">
        <v>12</v>
      </c>
      <c r="F46" s="5" t="s">
        <v>13</v>
      </c>
      <c r="G46" s="5" t="s">
        <v>14</v>
      </c>
      <c r="H46" s="5" t="s">
        <v>24</v>
      </c>
      <c r="I46" s="5">
        <v>2092.5</v>
      </c>
      <c r="J46" s="5">
        <v>5</v>
      </c>
      <c r="K46" s="5">
        <v>0.1</v>
      </c>
      <c r="L46" s="5">
        <v>720.75</v>
      </c>
      <c r="M46" s="6" t="s">
        <v>27</v>
      </c>
    </row>
    <row r="47" spans="1:13" ht="15.75" x14ac:dyDescent="0.25">
      <c r="A47" s="4" t="s">
        <v>271</v>
      </c>
      <c r="B47" s="5" t="s">
        <v>88</v>
      </c>
      <c r="C47" s="5" t="s">
        <v>272</v>
      </c>
      <c r="D47" s="5" t="s">
        <v>273</v>
      </c>
      <c r="E47" s="5" t="s">
        <v>50</v>
      </c>
      <c r="F47" s="5" t="s">
        <v>51</v>
      </c>
      <c r="G47" s="5" t="s">
        <v>14</v>
      </c>
      <c r="H47" s="5" t="s">
        <v>7</v>
      </c>
      <c r="I47" s="5">
        <v>2761.2</v>
      </c>
      <c r="J47" s="5">
        <v>6</v>
      </c>
      <c r="K47" s="5">
        <v>0</v>
      </c>
      <c r="L47" s="5">
        <v>110.34</v>
      </c>
      <c r="M47" s="6" t="s">
        <v>8</v>
      </c>
    </row>
    <row r="48" spans="1:13" ht="15.75" x14ac:dyDescent="0.25">
      <c r="A48" s="4" t="s">
        <v>274</v>
      </c>
      <c r="B48" s="7">
        <v>42009</v>
      </c>
      <c r="C48" s="7">
        <v>42009</v>
      </c>
      <c r="D48" s="5" t="s">
        <v>275</v>
      </c>
      <c r="E48" s="5" t="s">
        <v>38</v>
      </c>
      <c r="F48" s="5" t="s">
        <v>34</v>
      </c>
      <c r="G48" s="5" t="s">
        <v>2</v>
      </c>
      <c r="H48" s="5" t="s">
        <v>18</v>
      </c>
      <c r="I48" s="5">
        <v>2174.13</v>
      </c>
      <c r="J48" s="5">
        <v>7</v>
      </c>
      <c r="K48" s="5"/>
      <c r="L48" s="5">
        <v>500.01</v>
      </c>
      <c r="M48" s="6" t="s">
        <v>27</v>
      </c>
    </row>
    <row r="49" spans="1:13" ht="15.75" x14ac:dyDescent="0.25">
      <c r="A49" s="4" t="s">
        <v>276</v>
      </c>
      <c r="B49" s="5" t="s">
        <v>112</v>
      </c>
      <c r="C49" s="5" t="s">
        <v>99</v>
      </c>
      <c r="D49" s="5" t="s">
        <v>45</v>
      </c>
      <c r="E49" s="5" t="s">
        <v>277</v>
      </c>
      <c r="F49" s="5" t="s">
        <v>35</v>
      </c>
      <c r="G49" s="5" t="s">
        <v>14</v>
      </c>
      <c r="H49" s="5" t="s">
        <v>18</v>
      </c>
      <c r="I49" s="5" t="s">
        <v>55</v>
      </c>
      <c r="J49" s="5">
        <v>11</v>
      </c>
      <c r="K49" s="5">
        <v>0</v>
      </c>
      <c r="L49" s="5">
        <v>868.12</v>
      </c>
      <c r="M49" s="6" t="s">
        <v>8</v>
      </c>
    </row>
    <row r="50" spans="1:13" ht="15.75" x14ac:dyDescent="0.25">
      <c r="A50" s="4" t="s">
        <v>278</v>
      </c>
      <c r="B50" s="5" t="s">
        <v>279</v>
      </c>
      <c r="C50" s="5" t="s">
        <v>280</v>
      </c>
      <c r="D50" s="5" t="s">
        <v>225</v>
      </c>
      <c r="E50" s="5" t="s">
        <v>5</v>
      </c>
      <c r="F50" s="5" t="s">
        <v>39</v>
      </c>
      <c r="G50" s="5" t="s">
        <v>65</v>
      </c>
      <c r="H50" s="5" t="s">
        <v>48</v>
      </c>
      <c r="I50" s="5">
        <v>49.408000000000001</v>
      </c>
      <c r="J50" s="5">
        <v>4</v>
      </c>
      <c r="K50" s="5">
        <v>0.2</v>
      </c>
      <c r="L50" s="5"/>
      <c r="M50" s="6" t="s">
        <v>8</v>
      </c>
    </row>
    <row r="51" spans="1:13" ht="15.75" x14ac:dyDescent="0.25">
      <c r="A51" s="4" t="s">
        <v>281</v>
      </c>
      <c r="B51" s="5" t="s">
        <v>282</v>
      </c>
      <c r="C51" s="5" t="s">
        <v>283</v>
      </c>
      <c r="D51" s="5" t="s">
        <v>284</v>
      </c>
      <c r="E51" s="5" t="s">
        <v>115</v>
      </c>
      <c r="F51" s="5" t="s">
        <v>285</v>
      </c>
      <c r="G51" s="5" t="s">
        <v>2</v>
      </c>
      <c r="H51" s="5" t="s">
        <v>18</v>
      </c>
      <c r="I51" s="5">
        <v>2108.64</v>
      </c>
      <c r="J51" s="5">
        <v>8</v>
      </c>
      <c r="K51" s="5">
        <v>0</v>
      </c>
      <c r="L51" s="5">
        <v>527.04</v>
      </c>
      <c r="M51" s="6" t="s">
        <v>27</v>
      </c>
    </row>
    <row r="52" spans="1:13" ht="15.75" x14ac:dyDescent="0.25">
      <c r="A52" s="4" t="s">
        <v>242</v>
      </c>
      <c r="B52" s="5" t="s">
        <v>243</v>
      </c>
      <c r="C52" s="5" t="s">
        <v>101</v>
      </c>
      <c r="D52" s="5" t="s">
        <v>225</v>
      </c>
      <c r="E52" s="5" t="s">
        <v>5</v>
      </c>
      <c r="F52" s="5" t="s">
        <v>6</v>
      </c>
      <c r="G52" s="5" t="s">
        <v>10</v>
      </c>
      <c r="H52" s="5" t="s">
        <v>7</v>
      </c>
      <c r="I52" s="5"/>
      <c r="J52" s="5">
        <v>3</v>
      </c>
      <c r="K52" s="5">
        <v>0</v>
      </c>
      <c r="L52" s="5">
        <v>8.6940000000000008</v>
      </c>
      <c r="M52" s="6" t="s">
        <v>8</v>
      </c>
    </row>
    <row r="53" spans="1:13" ht="15.75" x14ac:dyDescent="0.25">
      <c r="A53" s="4" t="s">
        <v>216</v>
      </c>
      <c r="B53" s="10">
        <v>41259</v>
      </c>
      <c r="C53" s="5" t="s">
        <v>46</v>
      </c>
      <c r="D53" s="5" t="s">
        <v>68</v>
      </c>
      <c r="E53" s="5" t="s">
        <v>218</v>
      </c>
      <c r="F53" s="5" t="s">
        <v>51</v>
      </c>
      <c r="G53" s="5" t="s">
        <v>14</v>
      </c>
      <c r="H53" s="5" t="s">
        <v>11</v>
      </c>
      <c r="I53" s="5"/>
      <c r="J53" s="5">
        <v>5</v>
      </c>
      <c r="K53" s="5">
        <v>0</v>
      </c>
      <c r="L53" s="5"/>
      <c r="M53" s="6" t="s">
        <v>27</v>
      </c>
    </row>
    <row r="54" spans="1:13" ht="15.75" x14ac:dyDescent="0.25">
      <c r="A54" s="4" t="s">
        <v>286</v>
      </c>
      <c r="B54" s="5" t="s">
        <v>287</v>
      </c>
      <c r="C54" s="5" t="s">
        <v>287</v>
      </c>
      <c r="D54" s="5" t="s">
        <v>288</v>
      </c>
      <c r="E54" s="5" t="s">
        <v>289</v>
      </c>
      <c r="F54" s="5" t="s">
        <v>26</v>
      </c>
      <c r="G54" s="5" t="s">
        <v>2</v>
      </c>
      <c r="H54" s="5" t="s">
        <v>11</v>
      </c>
      <c r="I54" s="5">
        <v>2582.16</v>
      </c>
      <c r="J54" s="5">
        <v>4</v>
      </c>
      <c r="K54" s="5">
        <v>0</v>
      </c>
      <c r="L54" s="5">
        <v>593.88</v>
      </c>
      <c r="M54" s="6"/>
    </row>
    <row r="55" spans="1:13" ht="15.75" x14ac:dyDescent="0.25">
      <c r="A55" s="4" t="s">
        <v>290</v>
      </c>
      <c r="B55" s="5" t="s">
        <v>291</v>
      </c>
      <c r="C55" s="5" t="s">
        <v>70</v>
      </c>
      <c r="D55" s="5" t="s">
        <v>292</v>
      </c>
      <c r="E55" s="5" t="s">
        <v>38</v>
      </c>
      <c r="F55" s="5" t="s">
        <v>34</v>
      </c>
      <c r="G55" s="5" t="s">
        <v>2</v>
      </c>
      <c r="H55" s="5" t="s">
        <v>21</v>
      </c>
      <c r="I55" s="5">
        <v>1526.52</v>
      </c>
      <c r="J55" s="5">
        <v>4</v>
      </c>
      <c r="K55" s="5">
        <v>0</v>
      </c>
      <c r="L55" s="5">
        <v>732.72</v>
      </c>
      <c r="M55" s="6" t="s">
        <v>27</v>
      </c>
    </row>
    <row r="56" spans="1:13" ht="15.75" x14ac:dyDescent="0.25">
      <c r="A56" s="4" t="s">
        <v>222</v>
      </c>
      <c r="B56" s="5" t="s">
        <v>223</v>
      </c>
      <c r="C56" s="5" t="s">
        <v>224</v>
      </c>
      <c r="D56" s="5" t="s">
        <v>225</v>
      </c>
      <c r="E56" s="5" t="s">
        <v>5</v>
      </c>
      <c r="F56" s="8" t="s">
        <v>293</v>
      </c>
      <c r="G56" s="5"/>
      <c r="H56" s="5" t="s">
        <v>31</v>
      </c>
      <c r="I56" s="5">
        <v>9.9120000000000008</v>
      </c>
      <c r="J56" s="5">
        <v>3</v>
      </c>
      <c r="K56" s="5">
        <v>0.2</v>
      </c>
      <c r="L56" s="5"/>
      <c r="M56" s="6" t="s">
        <v>27</v>
      </c>
    </row>
    <row r="57" spans="1:13" ht="15.75" x14ac:dyDescent="0.25">
      <c r="A57" s="4" t="s">
        <v>294</v>
      </c>
      <c r="B57" s="5" t="s">
        <v>143</v>
      </c>
      <c r="C57" s="5" t="s">
        <v>23</v>
      </c>
      <c r="D57" s="5" t="s">
        <v>295</v>
      </c>
      <c r="E57" s="5" t="s">
        <v>38</v>
      </c>
      <c r="F57" s="5" t="s">
        <v>34</v>
      </c>
      <c r="G57" s="5" t="s">
        <v>14</v>
      </c>
      <c r="H57" s="5" t="s">
        <v>11</v>
      </c>
      <c r="I57" s="5">
        <v>1745.34</v>
      </c>
      <c r="J57" s="5">
        <v>2</v>
      </c>
      <c r="K57" s="5">
        <v>0</v>
      </c>
      <c r="L57" s="5">
        <v>226.86</v>
      </c>
      <c r="M57" s="6" t="s">
        <v>27</v>
      </c>
    </row>
    <row r="58" spans="1:13" ht="15.75" x14ac:dyDescent="0.25">
      <c r="A58" s="4" t="s">
        <v>296</v>
      </c>
      <c r="B58" s="7">
        <v>42132</v>
      </c>
      <c r="C58" s="7">
        <v>42163</v>
      </c>
      <c r="D58" s="5" t="s">
        <v>123</v>
      </c>
      <c r="E58" s="5" t="s">
        <v>16</v>
      </c>
      <c r="F58" s="5" t="s">
        <v>17</v>
      </c>
      <c r="G58" s="5" t="s">
        <v>10</v>
      </c>
      <c r="H58" s="5" t="s">
        <v>11</v>
      </c>
      <c r="I58" s="5">
        <v>4191.5069999999996</v>
      </c>
      <c r="J58" s="5">
        <v>9</v>
      </c>
      <c r="K58" s="5">
        <v>0.1</v>
      </c>
      <c r="L58" s="5">
        <v>1164.2670000000001</v>
      </c>
      <c r="M58" s="6" t="s">
        <v>8</v>
      </c>
    </row>
    <row r="59" spans="1:13" ht="15.75" x14ac:dyDescent="0.25">
      <c r="A59" s="4" t="s">
        <v>241</v>
      </c>
      <c r="B59" s="7">
        <v>41248</v>
      </c>
      <c r="C59" s="5" t="s">
        <v>297</v>
      </c>
      <c r="D59" s="5" t="s">
        <v>225</v>
      </c>
      <c r="E59" s="5" t="s">
        <v>5</v>
      </c>
      <c r="F59" s="5" t="s">
        <v>39</v>
      </c>
      <c r="G59" s="5" t="s">
        <v>65</v>
      </c>
      <c r="H59" s="5" t="s">
        <v>3</v>
      </c>
      <c r="I59" s="5">
        <v>8</v>
      </c>
      <c r="J59" s="5">
        <v>2</v>
      </c>
      <c r="K59" s="5"/>
      <c r="L59" s="5">
        <v>3.84</v>
      </c>
      <c r="M59" s="6" t="s">
        <v>4</v>
      </c>
    </row>
    <row r="60" spans="1:13" ht="15.75" x14ac:dyDescent="0.25">
      <c r="A60" s="4" t="s">
        <v>298</v>
      </c>
      <c r="B60" s="7">
        <v>42311</v>
      </c>
      <c r="C60" s="5"/>
      <c r="D60" s="5" t="s">
        <v>299</v>
      </c>
      <c r="E60" s="5" t="s">
        <v>47</v>
      </c>
      <c r="F60" s="5" t="s">
        <v>34</v>
      </c>
      <c r="G60" s="5" t="s">
        <v>300</v>
      </c>
      <c r="H60" s="5" t="s">
        <v>24</v>
      </c>
      <c r="I60" s="5">
        <v>3063.27</v>
      </c>
      <c r="J60" s="5">
        <v>7</v>
      </c>
      <c r="K60" s="5">
        <v>0</v>
      </c>
      <c r="L60" s="5">
        <v>581.91</v>
      </c>
      <c r="M60" s="6" t="s">
        <v>8</v>
      </c>
    </row>
    <row r="61" spans="1:13" ht="15.75" x14ac:dyDescent="0.25">
      <c r="A61" s="4" t="s">
        <v>301</v>
      </c>
      <c r="B61" s="5" t="s">
        <v>302</v>
      </c>
      <c r="C61" s="5" t="s">
        <v>303</v>
      </c>
      <c r="D61" s="5" t="s">
        <v>225</v>
      </c>
      <c r="E61" s="5" t="s">
        <v>5</v>
      </c>
      <c r="F61" s="5" t="s">
        <v>6</v>
      </c>
      <c r="G61" s="5" t="s">
        <v>10</v>
      </c>
      <c r="H61" s="5" t="s">
        <v>31</v>
      </c>
      <c r="I61" s="5">
        <v>18.704000000000001</v>
      </c>
      <c r="J61" s="5">
        <v>7</v>
      </c>
      <c r="K61" s="5">
        <v>0.2</v>
      </c>
      <c r="L61" s="5">
        <v>2.3380000000000001</v>
      </c>
      <c r="M61" s="6" t="s">
        <v>4</v>
      </c>
    </row>
    <row r="62" spans="1:13" ht="15.75" x14ac:dyDescent="0.25">
      <c r="A62" s="4" t="s">
        <v>304</v>
      </c>
      <c r="B62" s="7">
        <v>42316</v>
      </c>
      <c r="C62" s="5" t="s">
        <v>305</v>
      </c>
      <c r="D62" s="5" t="s">
        <v>306</v>
      </c>
      <c r="E62" s="5" t="s">
        <v>20</v>
      </c>
      <c r="F62" s="5" t="s">
        <v>13</v>
      </c>
      <c r="G62" s="5" t="s">
        <v>2</v>
      </c>
      <c r="H62" s="5" t="s">
        <v>21</v>
      </c>
      <c r="I62" s="5">
        <v>4473</v>
      </c>
      <c r="J62" s="5">
        <v>7</v>
      </c>
      <c r="K62" s="5">
        <v>0</v>
      </c>
      <c r="L62" s="5">
        <v>313.11</v>
      </c>
      <c r="M62" s="6" t="s">
        <v>4</v>
      </c>
    </row>
    <row r="63" spans="1:13" ht="15.75" x14ac:dyDescent="0.25">
      <c r="A63" s="4" t="s">
        <v>307</v>
      </c>
      <c r="B63" s="5" t="s">
        <v>308</v>
      </c>
      <c r="C63" s="7">
        <v>41707</v>
      </c>
      <c r="D63" s="5" t="s">
        <v>309</v>
      </c>
      <c r="E63" s="5" t="s">
        <v>20</v>
      </c>
      <c r="F63" s="5" t="s">
        <v>13</v>
      </c>
      <c r="G63" s="5" t="s">
        <v>2</v>
      </c>
      <c r="H63" s="5" t="s">
        <v>48</v>
      </c>
      <c r="I63" s="5">
        <v>1502.01</v>
      </c>
      <c r="J63" s="5">
        <v>9</v>
      </c>
      <c r="K63" s="5">
        <v>0</v>
      </c>
      <c r="L63" s="5">
        <v>225.18</v>
      </c>
      <c r="M63" s="6" t="s">
        <v>27</v>
      </c>
    </row>
    <row r="64" spans="1:13" ht="15.75" x14ac:dyDescent="0.25">
      <c r="A64" s="4" t="s">
        <v>310</v>
      </c>
      <c r="B64" s="5" t="s">
        <v>246</v>
      </c>
      <c r="C64" s="5" t="s">
        <v>311</v>
      </c>
      <c r="D64" s="5" t="s">
        <v>312</v>
      </c>
      <c r="E64" s="5" t="s">
        <v>50</v>
      </c>
      <c r="F64" s="5" t="s">
        <v>51</v>
      </c>
      <c r="G64" s="5" t="s">
        <v>14</v>
      </c>
      <c r="H64" s="5" t="s">
        <v>31</v>
      </c>
      <c r="I64" s="5">
        <v>5049</v>
      </c>
      <c r="J64" s="5">
        <v>11</v>
      </c>
      <c r="K64" s="5">
        <v>0</v>
      </c>
      <c r="L64" s="5">
        <v>3799.5593480000002</v>
      </c>
      <c r="M64" s="6" t="s">
        <v>8</v>
      </c>
    </row>
    <row r="65" spans="1:13" ht="15.75" x14ac:dyDescent="0.25">
      <c r="A65" s="4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</row>
    <row r="66" spans="1:13" ht="15.75" x14ac:dyDescent="0.25">
      <c r="A66" s="4" t="s">
        <v>315</v>
      </c>
      <c r="B66" s="7">
        <v>42197</v>
      </c>
      <c r="C66" s="7">
        <v>42346</v>
      </c>
      <c r="D66" s="5" t="s">
        <v>316</v>
      </c>
      <c r="E66" s="5" t="s">
        <v>66</v>
      </c>
      <c r="F66" s="5" t="s">
        <v>67</v>
      </c>
      <c r="G66" s="5" t="s">
        <v>14</v>
      </c>
      <c r="H66" s="5" t="s">
        <v>18</v>
      </c>
      <c r="I66" s="5">
        <v>2188.0500000000002</v>
      </c>
      <c r="J66" s="5">
        <v>5</v>
      </c>
      <c r="K66" s="5">
        <v>0</v>
      </c>
      <c r="L66" s="5">
        <v>1050.1500000000001</v>
      </c>
      <c r="M66" s="6" t="s">
        <v>8</v>
      </c>
    </row>
    <row r="67" spans="1:13" ht="15.75" x14ac:dyDescent="0.25">
      <c r="A67" s="9" t="s">
        <v>317</v>
      </c>
      <c r="B67" s="5"/>
      <c r="C67" s="5" t="s">
        <v>302</v>
      </c>
      <c r="D67" s="5" t="s">
        <v>318</v>
      </c>
      <c r="E67" s="5" t="s">
        <v>38</v>
      </c>
      <c r="F67" s="5" t="s">
        <v>34</v>
      </c>
      <c r="G67" s="5" t="s">
        <v>14</v>
      </c>
      <c r="H67" s="5" t="s">
        <v>24</v>
      </c>
      <c r="I67" s="5">
        <v>1920.36</v>
      </c>
      <c r="J67" s="5">
        <v>4</v>
      </c>
      <c r="K67" s="5">
        <v>0</v>
      </c>
      <c r="L67" s="5">
        <v>652.91999999999996</v>
      </c>
      <c r="M67" s="6" t="s">
        <v>27</v>
      </c>
    </row>
    <row r="68" spans="1:13" ht="15.75" x14ac:dyDescent="0.25">
      <c r="A68" s="4" t="s">
        <v>319</v>
      </c>
      <c r="B68" s="5" t="s">
        <v>137</v>
      </c>
      <c r="C68" s="5" t="s">
        <v>137</v>
      </c>
      <c r="D68" s="5" t="s">
        <v>320</v>
      </c>
      <c r="E68" s="5" t="s">
        <v>60</v>
      </c>
      <c r="F68" s="5" t="s">
        <v>61</v>
      </c>
      <c r="G68" s="5" t="s">
        <v>2</v>
      </c>
      <c r="H68" s="5" t="s">
        <v>21</v>
      </c>
      <c r="I68" s="5">
        <v>1704</v>
      </c>
      <c r="J68" s="5">
        <v>4</v>
      </c>
      <c r="K68" s="5">
        <v>0</v>
      </c>
      <c r="L68" s="5">
        <v>119.28</v>
      </c>
      <c r="M68" s="6" t="s">
        <v>27</v>
      </c>
    </row>
    <row r="69" spans="1:13" ht="15.75" x14ac:dyDescent="0.25">
      <c r="A69" s="4" t="s">
        <v>321</v>
      </c>
      <c r="B69" s="7">
        <v>41132</v>
      </c>
      <c r="C69" s="7">
        <v>41193</v>
      </c>
      <c r="D69" s="5" t="s">
        <v>322</v>
      </c>
      <c r="E69" s="5" t="s">
        <v>33</v>
      </c>
      <c r="F69" s="5" t="s">
        <v>323</v>
      </c>
      <c r="G69" s="5" t="s">
        <v>14</v>
      </c>
      <c r="H69" s="5" t="s">
        <v>3</v>
      </c>
      <c r="I69" s="5">
        <v>1858.68</v>
      </c>
      <c r="J69" s="5">
        <v>4</v>
      </c>
      <c r="K69" s="5">
        <v>0</v>
      </c>
      <c r="L69" s="5"/>
      <c r="M69" s="6" t="s">
        <v>27</v>
      </c>
    </row>
    <row r="70" spans="1:13" ht="15.75" x14ac:dyDescent="0.25">
      <c r="A70" s="4" t="s">
        <v>324</v>
      </c>
      <c r="B70" s="7">
        <v>41797</v>
      </c>
      <c r="C70" s="7">
        <v>41888</v>
      </c>
      <c r="D70" s="5" t="s">
        <v>71</v>
      </c>
      <c r="E70" s="5" t="s">
        <v>325</v>
      </c>
      <c r="F70" s="5" t="s">
        <v>51</v>
      </c>
      <c r="G70" s="5" t="s">
        <v>14</v>
      </c>
      <c r="H70" s="5" t="s">
        <v>31</v>
      </c>
      <c r="I70" s="5">
        <v>3298.26</v>
      </c>
      <c r="J70" s="5">
        <v>7</v>
      </c>
      <c r="K70" s="5">
        <v>0</v>
      </c>
      <c r="L70" s="5">
        <v>1055.25</v>
      </c>
      <c r="M70" s="6" t="s">
        <v>8</v>
      </c>
    </row>
    <row r="71" spans="1:13" ht="31.5" x14ac:dyDescent="0.25">
      <c r="A71" s="4" t="s">
        <v>326</v>
      </c>
      <c r="B71" s="5" t="s">
        <v>327</v>
      </c>
      <c r="C71" s="5" t="s">
        <v>328</v>
      </c>
      <c r="D71" s="5" t="s">
        <v>329</v>
      </c>
      <c r="E71" s="5" t="s">
        <v>144</v>
      </c>
      <c r="F71" s="5" t="s">
        <v>61</v>
      </c>
      <c r="G71" s="5" t="s">
        <v>10</v>
      </c>
      <c r="H71" s="5" t="s">
        <v>3</v>
      </c>
      <c r="I71" s="5">
        <v>2443.48</v>
      </c>
      <c r="J71" s="5">
        <v>13</v>
      </c>
      <c r="K71" s="5">
        <v>0</v>
      </c>
      <c r="L71" s="5" t="s">
        <v>330</v>
      </c>
      <c r="M71" s="6" t="s">
        <v>4</v>
      </c>
    </row>
    <row r="72" spans="1:13" ht="31.5" x14ac:dyDescent="0.25">
      <c r="A72" s="4" t="s">
        <v>331</v>
      </c>
      <c r="B72" s="5" t="s">
        <v>332</v>
      </c>
      <c r="C72" s="5" t="s">
        <v>333</v>
      </c>
      <c r="D72" s="5" t="s">
        <v>334</v>
      </c>
      <c r="E72" s="5" t="s">
        <v>124</v>
      </c>
      <c r="F72" s="5" t="s">
        <v>28</v>
      </c>
      <c r="G72" s="5" t="s">
        <v>14</v>
      </c>
      <c r="H72" s="5" t="s">
        <v>18</v>
      </c>
      <c r="I72" s="5"/>
      <c r="J72" s="5">
        <v>8</v>
      </c>
      <c r="K72" s="5">
        <v>0</v>
      </c>
      <c r="L72" s="5">
        <v>1523.52</v>
      </c>
      <c r="M72" s="6" t="s">
        <v>8</v>
      </c>
    </row>
    <row r="73" spans="1:13" ht="15.75" x14ac:dyDescent="0.25">
      <c r="A73" s="4" t="s">
        <v>335</v>
      </c>
      <c r="B73" s="5" t="s">
        <v>336</v>
      </c>
      <c r="C73" s="5" t="s">
        <v>337</v>
      </c>
      <c r="D73" s="5" t="s">
        <v>116</v>
      </c>
      <c r="E73" s="5" t="s">
        <v>74</v>
      </c>
      <c r="F73" s="5" t="s">
        <v>43</v>
      </c>
      <c r="G73" s="5" t="s">
        <v>14</v>
      </c>
      <c r="H73" s="5" t="s">
        <v>24</v>
      </c>
      <c r="I73" s="5">
        <v>3427.1496000000002</v>
      </c>
      <c r="J73" s="5">
        <v>7</v>
      </c>
      <c r="K73" s="5"/>
      <c r="L73" s="5">
        <v>-452.81040000000002</v>
      </c>
      <c r="M73" s="6" t="s">
        <v>8</v>
      </c>
    </row>
    <row r="74" spans="1:13" ht="15.75" x14ac:dyDescent="0.25">
      <c r="A74" s="4"/>
      <c r="B74" s="5"/>
      <c r="C74" s="5"/>
      <c r="D74" s="5"/>
      <c r="E74" s="8"/>
      <c r="F74" s="5"/>
      <c r="G74" s="5"/>
      <c r="H74" s="5"/>
      <c r="I74" s="5"/>
      <c r="J74" s="5"/>
      <c r="K74" s="5"/>
      <c r="L74" s="5"/>
      <c r="M74" s="6"/>
    </row>
    <row r="75" spans="1:13" ht="15.75" x14ac:dyDescent="0.25">
      <c r="A75" s="4" t="s">
        <v>338</v>
      </c>
      <c r="B75" s="5" t="s">
        <v>19</v>
      </c>
      <c r="C75" s="5" t="s">
        <v>339</v>
      </c>
      <c r="D75" s="5" t="s">
        <v>45</v>
      </c>
      <c r="E75" s="5" t="s">
        <v>16</v>
      </c>
      <c r="F75" s="5" t="s">
        <v>17</v>
      </c>
      <c r="G75" s="5" t="s">
        <v>2</v>
      </c>
      <c r="H75" s="5" t="s">
        <v>3</v>
      </c>
      <c r="I75" s="5">
        <v>2863.35</v>
      </c>
      <c r="J75" s="5">
        <v>5</v>
      </c>
      <c r="K75" s="5">
        <v>0.1</v>
      </c>
      <c r="L75" s="5">
        <v>858.9</v>
      </c>
      <c r="M75" s="6" t="s">
        <v>340</v>
      </c>
    </row>
    <row r="76" spans="1:13" ht="15.75" x14ac:dyDescent="0.25">
      <c r="A76" s="4"/>
      <c r="B76" s="7">
        <v>42043</v>
      </c>
      <c r="C76" s="7">
        <v>42224</v>
      </c>
      <c r="D76" s="5" t="s">
        <v>314</v>
      </c>
      <c r="E76" s="5" t="s">
        <v>5</v>
      </c>
      <c r="F76" s="5" t="s">
        <v>52</v>
      </c>
      <c r="G76" s="5" t="s">
        <v>2</v>
      </c>
      <c r="H76" s="5" t="s">
        <v>31</v>
      </c>
      <c r="I76" s="5"/>
      <c r="J76" s="5">
        <v>3</v>
      </c>
      <c r="K76" s="5">
        <v>0.4</v>
      </c>
      <c r="L76" s="5">
        <v>-263.99669999999998</v>
      </c>
      <c r="M76" s="6" t="s">
        <v>4</v>
      </c>
    </row>
    <row r="77" spans="1:13" ht="15.75" x14ac:dyDescent="0.25">
      <c r="A77" s="4" t="s">
        <v>341</v>
      </c>
      <c r="B77" s="5" t="s">
        <v>75</v>
      </c>
      <c r="C77" s="5" t="s">
        <v>80</v>
      </c>
      <c r="D77" s="8" t="s">
        <v>73</v>
      </c>
      <c r="E77" s="5"/>
      <c r="F77" s="5" t="s">
        <v>13</v>
      </c>
      <c r="G77" s="5" t="s">
        <v>342</v>
      </c>
      <c r="H77" s="5" t="s">
        <v>31</v>
      </c>
      <c r="I77" s="5">
        <v>1487.4</v>
      </c>
      <c r="J77" s="5">
        <v>10</v>
      </c>
      <c r="K77" s="5">
        <v>0</v>
      </c>
      <c r="L77" s="5">
        <v>728.7</v>
      </c>
      <c r="M77" s="6" t="s">
        <v>27</v>
      </c>
    </row>
    <row r="78" spans="1:13" ht="15.75" x14ac:dyDescent="0.25">
      <c r="A78" s="4" t="s">
        <v>343</v>
      </c>
      <c r="B78" s="7">
        <v>41132</v>
      </c>
      <c r="C78" s="7">
        <v>41193</v>
      </c>
      <c r="D78" s="5" t="s">
        <v>344</v>
      </c>
      <c r="E78" s="5" t="s">
        <v>50</v>
      </c>
      <c r="F78" s="5" t="s">
        <v>51</v>
      </c>
      <c r="G78" s="5" t="s">
        <v>2</v>
      </c>
      <c r="H78" s="5" t="s">
        <v>7</v>
      </c>
      <c r="I78" s="5">
        <v>3200.04</v>
      </c>
      <c r="J78" s="5">
        <v>9</v>
      </c>
      <c r="K78" s="5" t="s">
        <v>57</v>
      </c>
      <c r="L78" s="5">
        <v>1183.95</v>
      </c>
      <c r="M78" s="6" t="s">
        <v>104</v>
      </c>
    </row>
    <row r="79" spans="1:13" ht="15.75" x14ac:dyDescent="0.25">
      <c r="A79" s="4" t="s">
        <v>345</v>
      </c>
      <c r="B79" s="5" t="s">
        <v>280</v>
      </c>
      <c r="C79" s="5" t="s">
        <v>280</v>
      </c>
      <c r="D79" s="5" t="s">
        <v>346</v>
      </c>
      <c r="E79" s="5" t="s">
        <v>38</v>
      </c>
      <c r="F79" s="8" t="s">
        <v>34</v>
      </c>
      <c r="G79" s="5"/>
      <c r="H79" s="5" t="s">
        <v>11</v>
      </c>
      <c r="I79" s="5">
        <v>2301</v>
      </c>
      <c r="J79" s="5">
        <v>5</v>
      </c>
      <c r="K79" s="5">
        <v>0</v>
      </c>
      <c r="L79" s="5">
        <v>91.95</v>
      </c>
      <c r="M79" s="6" t="s">
        <v>27</v>
      </c>
    </row>
    <row r="80" spans="1:13" ht="15.75" x14ac:dyDescent="0.25">
      <c r="A80" s="4"/>
      <c r="B80" s="5" t="s">
        <v>347</v>
      </c>
      <c r="C80" s="5" t="s">
        <v>348</v>
      </c>
      <c r="D80" s="5" t="s">
        <v>349</v>
      </c>
      <c r="E80" s="5" t="s">
        <v>12</v>
      </c>
      <c r="F80" s="5" t="s">
        <v>13</v>
      </c>
      <c r="G80" s="5" t="s">
        <v>14</v>
      </c>
      <c r="H80" s="5" t="s">
        <v>11</v>
      </c>
      <c r="I80" s="5">
        <v>5729.3459999999995</v>
      </c>
      <c r="J80" s="5">
        <v>14</v>
      </c>
      <c r="K80" s="5">
        <v>0.1</v>
      </c>
      <c r="L80" s="5">
        <v>63.545999999999999</v>
      </c>
      <c r="M80" s="6" t="s">
        <v>8</v>
      </c>
    </row>
    <row r="81" spans="1:13" ht="15.75" x14ac:dyDescent="0.25">
      <c r="A81" s="4" t="s">
        <v>350</v>
      </c>
      <c r="B81" s="5" t="s">
        <v>351</v>
      </c>
      <c r="C81" s="5" t="s">
        <v>352</v>
      </c>
      <c r="D81" s="5" t="s">
        <v>237</v>
      </c>
      <c r="E81" s="5" t="s">
        <v>84</v>
      </c>
      <c r="F81" s="5" t="s">
        <v>40</v>
      </c>
      <c r="G81" s="5" t="s">
        <v>2</v>
      </c>
      <c r="H81" s="5" t="s">
        <v>18</v>
      </c>
      <c r="I81" s="5">
        <v>5301.24</v>
      </c>
      <c r="J81" s="5">
        <v>14</v>
      </c>
      <c r="K81" s="5">
        <v>0</v>
      </c>
      <c r="L81" s="5">
        <v>2597.2800000000002</v>
      </c>
      <c r="M81" s="6" t="s">
        <v>4</v>
      </c>
    </row>
    <row r="82" spans="1:13" ht="15.75" x14ac:dyDescent="0.25">
      <c r="A82" s="4"/>
      <c r="B82" s="5" t="s">
        <v>353</v>
      </c>
      <c r="C82" s="5" t="s">
        <v>90</v>
      </c>
      <c r="D82" s="5" t="s">
        <v>314</v>
      </c>
      <c r="E82" s="5" t="s">
        <v>5</v>
      </c>
      <c r="F82" s="5" t="s">
        <v>39</v>
      </c>
      <c r="G82" s="5" t="s">
        <v>14</v>
      </c>
      <c r="H82" s="5" t="s">
        <v>18</v>
      </c>
      <c r="I82" s="5">
        <v>477.666</v>
      </c>
      <c r="J82" s="5">
        <v>2</v>
      </c>
      <c r="K82" s="5">
        <v>0.15</v>
      </c>
      <c r="L82" s="5">
        <v>84.293999999999997</v>
      </c>
      <c r="M82" s="6" t="s">
        <v>27</v>
      </c>
    </row>
    <row r="83" spans="1:13" ht="15.75" x14ac:dyDescent="0.25">
      <c r="A83" s="4" t="s">
        <v>354</v>
      </c>
      <c r="B83" s="7">
        <v>42133</v>
      </c>
      <c r="C83" s="7">
        <v>42164</v>
      </c>
      <c r="D83" s="5" t="s">
        <v>314</v>
      </c>
      <c r="E83" s="5" t="s">
        <v>5</v>
      </c>
      <c r="F83" s="5" t="s">
        <v>39</v>
      </c>
      <c r="G83" s="5" t="s">
        <v>10</v>
      </c>
      <c r="H83" s="5" t="s">
        <v>11</v>
      </c>
      <c r="I83" s="5">
        <v>88.073999999999998</v>
      </c>
      <c r="J83" s="5">
        <v>7</v>
      </c>
      <c r="K83" s="5">
        <v>0.7</v>
      </c>
      <c r="L83" s="5">
        <v>-58.716000000000001</v>
      </c>
      <c r="M83" s="6" t="s">
        <v>8</v>
      </c>
    </row>
    <row r="84" spans="1:13" ht="15.75" x14ac:dyDescent="0.25">
      <c r="A84" s="4"/>
      <c r="B84" s="5" t="s">
        <v>355</v>
      </c>
      <c r="C84" s="7">
        <v>41761</v>
      </c>
      <c r="D84" s="5" t="s">
        <v>251</v>
      </c>
      <c r="E84" s="5" t="s">
        <v>20</v>
      </c>
      <c r="F84" s="5" t="s">
        <v>13</v>
      </c>
      <c r="G84" s="5" t="s">
        <v>2</v>
      </c>
      <c r="H84" s="5" t="s">
        <v>7</v>
      </c>
      <c r="I84" s="5">
        <v>3219.9</v>
      </c>
      <c r="J84" s="5">
        <v>5</v>
      </c>
      <c r="K84" s="5"/>
      <c r="L84" s="5">
        <v>965.85</v>
      </c>
      <c r="M84" s="6" t="s">
        <v>25</v>
      </c>
    </row>
    <row r="85" spans="1:13" ht="15.75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spans="1:13" ht="15.75" x14ac:dyDescent="0.25">
      <c r="A86" s="4" t="s">
        <v>356</v>
      </c>
      <c r="B86" s="5" t="s">
        <v>357</v>
      </c>
      <c r="C86" s="5" t="s">
        <v>357</v>
      </c>
      <c r="D86" s="5" t="s">
        <v>358</v>
      </c>
      <c r="E86" s="5" t="s">
        <v>84</v>
      </c>
      <c r="F86" s="5" t="s">
        <v>40</v>
      </c>
      <c r="G86" s="5" t="s">
        <v>10</v>
      </c>
      <c r="H86" s="5" t="s">
        <v>31</v>
      </c>
      <c r="I86" s="5">
        <v>2266.44</v>
      </c>
      <c r="J86" s="5">
        <v>4</v>
      </c>
      <c r="K86" s="5">
        <v>0</v>
      </c>
      <c r="L86" s="5">
        <v>113.28</v>
      </c>
      <c r="M86" s="6" t="s">
        <v>4</v>
      </c>
    </row>
    <row r="87" spans="1:13" ht="15.75" x14ac:dyDescent="0.25">
      <c r="A87" s="4"/>
      <c r="B87" s="5" t="s">
        <v>359</v>
      </c>
      <c r="C87" s="5" t="s">
        <v>359</v>
      </c>
      <c r="D87" s="5" t="s">
        <v>360</v>
      </c>
      <c r="E87" s="5" t="s">
        <v>16</v>
      </c>
      <c r="F87" s="5" t="s">
        <v>17</v>
      </c>
      <c r="G87" s="5" t="s">
        <v>2</v>
      </c>
      <c r="H87" s="5" t="s">
        <v>24</v>
      </c>
      <c r="I87" s="5">
        <v>3068.3609999999999</v>
      </c>
      <c r="J87" s="5"/>
      <c r="K87" s="5">
        <v>0.1</v>
      </c>
      <c r="L87" s="5">
        <v>1124.9010000000001</v>
      </c>
      <c r="M87" s="6" t="s">
        <v>8</v>
      </c>
    </row>
    <row r="88" spans="1:13" ht="15.75" x14ac:dyDescent="0.25">
      <c r="A88" s="4" t="s">
        <v>361</v>
      </c>
      <c r="B88" s="5" t="s">
        <v>362</v>
      </c>
      <c r="C88" s="5" t="s">
        <v>363</v>
      </c>
      <c r="D88" s="5" t="s">
        <v>91</v>
      </c>
      <c r="E88" s="5" t="s">
        <v>47</v>
      </c>
      <c r="F88" s="5" t="s">
        <v>34</v>
      </c>
      <c r="G88" s="5" t="s">
        <v>14</v>
      </c>
      <c r="H88" s="5" t="s">
        <v>24</v>
      </c>
      <c r="I88" s="5">
        <v>3728.43</v>
      </c>
      <c r="J88" s="5">
        <v>9</v>
      </c>
      <c r="K88" s="5">
        <v>0</v>
      </c>
      <c r="L88" s="5">
        <v>1192.8599999999999</v>
      </c>
      <c r="M88" s="6" t="s">
        <v>4</v>
      </c>
    </row>
    <row r="89" spans="1:13" ht="15.75" x14ac:dyDescent="0.25">
      <c r="A89" s="4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</row>
    <row r="90" spans="1:13" ht="15.75" x14ac:dyDescent="0.25">
      <c r="A90" s="4" t="s">
        <v>365</v>
      </c>
      <c r="B90" s="5" t="s">
        <v>143</v>
      </c>
      <c r="C90" s="5" t="s">
        <v>23</v>
      </c>
      <c r="D90" s="5" t="s">
        <v>295</v>
      </c>
      <c r="E90" s="5" t="s">
        <v>38</v>
      </c>
      <c r="F90" s="5" t="s">
        <v>34</v>
      </c>
      <c r="G90" s="5" t="s">
        <v>2</v>
      </c>
      <c r="H90" s="5" t="s">
        <v>21</v>
      </c>
      <c r="I90" s="5">
        <v>1916.73</v>
      </c>
      <c r="J90" s="5">
        <v>3</v>
      </c>
      <c r="K90" s="5">
        <v>0</v>
      </c>
      <c r="L90" s="5">
        <v>498.33</v>
      </c>
      <c r="M90" s="6" t="s">
        <v>27</v>
      </c>
    </row>
    <row r="91" spans="1:13" ht="15.75" x14ac:dyDescent="0.25">
      <c r="A91" s="4" t="s">
        <v>366</v>
      </c>
      <c r="B91" s="7">
        <v>42104</v>
      </c>
      <c r="C91" s="7">
        <v>42257</v>
      </c>
      <c r="D91" s="5" t="s">
        <v>314</v>
      </c>
      <c r="E91" s="5" t="s">
        <v>5</v>
      </c>
      <c r="F91" s="5" t="s">
        <v>87</v>
      </c>
      <c r="G91" s="5" t="s">
        <v>14</v>
      </c>
      <c r="H91" s="5" t="s">
        <v>11</v>
      </c>
      <c r="I91" s="5">
        <v>171.28800000000001</v>
      </c>
      <c r="J91" s="5">
        <v>3</v>
      </c>
      <c r="K91" s="5">
        <v>1.433999491</v>
      </c>
      <c r="L91" s="5">
        <v>-6.4233000000000002</v>
      </c>
      <c r="M91" s="6" t="s">
        <v>4</v>
      </c>
    </row>
    <row r="92" spans="1:13" ht="15.75" x14ac:dyDescent="0.25">
      <c r="A92" s="4" t="s">
        <v>367</v>
      </c>
      <c r="B92" s="7">
        <v>41682</v>
      </c>
      <c r="C92" s="5"/>
      <c r="D92" s="5" t="s">
        <v>368</v>
      </c>
      <c r="E92" s="5" t="s">
        <v>12</v>
      </c>
      <c r="F92" s="5" t="s">
        <v>13</v>
      </c>
      <c r="G92" s="5" t="s">
        <v>10</v>
      </c>
      <c r="H92" s="5" t="s">
        <v>31</v>
      </c>
      <c r="I92" s="5">
        <v>2432.16</v>
      </c>
      <c r="J92" s="5">
        <v>5</v>
      </c>
      <c r="K92" s="5">
        <v>0.1</v>
      </c>
      <c r="L92" s="5">
        <v>513.36</v>
      </c>
      <c r="M92" s="6" t="s">
        <v>27</v>
      </c>
    </row>
    <row r="93" spans="1:13" ht="15.75" x14ac:dyDescent="0.25">
      <c r="A93" s="9" t="s">
        <v>313</v>
      </c>
      <c r="B93" s="5"/>
      <c r="C93" s="7">
        <v>42125</v>
      </c>
      <c r="D93" s="5"/>
      <c r="E93" s="5" t="s">
        <v>5</v>
      </c>
      <c r="F93" s="5" t="s">
        <v>85</v>
      </c>
      <c r="G93" s="5" t="s">
        <v>10</v>
      </c>
      <c r="H93" s="5" t="s">
        <v>3</v>
      </c>
      <c r="I93" s="5">
        <v>28.853999999999999</v>
      </c>
      <c r="J93" s="5">
        <v>6</v>
      </c>
      <c r="K93" s="5">
        <v>0.7</v>
      </c>
      <c r="L93" s="5">
        <v>-21.159600000000001</v>
      </c>
      <c r="M93" s="6" t="s">
        <v>8</v>
      </c>
    </row>
    <row r="94" spans="1:13" ht="31.5" x14ac:dyDescent="0.25">
      <c r="A94" s="4" t="s">
        <v>369</v>
      </c>
      <c r="B94" s="5" t="s">
        <v>171</v>
      </c>
      <c r="C94" s="5" t="s">
        <v>172</v>
      </c>
      <c r="D94" s="5" t="s">
        <v>370</v>
      </c>
      <c r="E94" s="5" t="s">
        <v>42</v>
      </c>
      <c r="F94" s="5" t="s">
        <v>43</v>
      </c>
      <c r="G94" s="5" t="s">
        <v>14</v>
      </c>
      <c r="H94" s="5" t="s">
        <v>24</v>
      </c>
      <c r="I94" s="5" t="s">
        <v>55</v>
      </c>
      <c r="J94" s="5">
        <v>7</v>
      </c>
      <c r="K94" s="5">
        <v>0.25</v>
      </c>
      <c r="L94" s="5" t="s">
        <v>371</v>
      </c>
      <c r="M94" s="6" t="s">
        <v>8</v>
      </c>
    </row>
    <row r="95" spans="1:13" ht="15.75" x14ac:dyDescent="0.25">
      <c r="A95" s="4" t="s">
        <v>372</v>
      </c>
      <c r="B95" s="7">
        <v>41460</v>
      </c>
      <c r="C95" s="7">
        <v>41460</v>
      </c>
      <c r="D95" s="8" t="s">
        <v>373</v>
      </c>
      <c r="E95" s="5"/>
      <c r="F95" s="5" t="s">
        <v>17</v>
      </c>
      <c r="G95" s="5" t="s">
        <v>53</v>
      </c>
      <c r="H95" s="5" t="s">
        <v>31</v>
      </c>
      <c r="I95" s="5">
        <v>1847.52</v>
      </c>
      <c r="J95" s="5">
        <v>2</v>
      </c>
      <c r="K95" s="5">
        <v>0</v>
      </c>
      <c r="L95" s="5">
        <v>738.96</v>
      </c>
      <c r="M95" s="6" t="s">
        <v>8</v>
      </c>
    </row>
    <row r="96" spans="1:13" ht="15.75" x14ac:dyDescent="0.25">
      <c r="A96" s="4"/>
      <c r="B96" s="5" t="s">
        <v>374</v>
      </c>
      <c r="C96" s="5" t="s">
        <v>122</v>
      </c>
      <c r="D96" s="5" t="s">
        <v>86</v>
      </c>
      <c r="E96" s="5" t="s">
        <v>375</v>
      </c>
      <c r="F96" s="5" t="s">
        <v>13</v>
      </c>
      <c r="G96" s="5" t="s">
        <v>14</v>
      </c>
      <c r="H96" s="5" t="s">
        <v>18</v>
      </c>
      <c r="I96" s="5">
        <v>2899.89</v>
      </c>
      <c r="J96" s="5">
        <v>7</v>
      </c>
      <c r="K96" s="5">
        <v>0</v>
      </c>
      <c r="L96" s="5">
        <v>927.78</v>
      </c>
      <c r="M96" s="6" t="s">
        <v>8</v>
      </c>
    </row>
    <row r="97" spans="1:13" ht="15.75" x14ac:dyDescent="0.25">
      <c r="A97" s="4" t="s">
        <v>376</v>
      </c>
      <c r="B97" s="5" t="s">
        <v>147</v>
      </c>
      <c r="C97" s="7">
        <v>41317</v>
      </c>
      <c r="D97" s="5" t="s">
        <v>368</v>
      </c>
      <c r="E97" s="5" t="s">
        <v>16</v>
      </c>
      <c r="F97" s="5" t="s">
        <v>17</v>
      </c>
      <c r="G97" s="5" t="s">
        <v>14</v>
      </c>
      <c r="H97" s="5" t="s">
        <v>3</v>
      </c>
      <c r="I97" s="5">
        <v>2891.7</v>
      </c>
      <c r="J97" s="5">
        <v>7</v>
      </c>
      <c r="K97" s="5">
        <v>0.1</v>
      </c>
      <c r="L97" s="5">
        <v>96.39</v>
      </c>
      <c r="M97" s="6" t="s">
        <v>4</v>
      </c>
    </row>
    <row r="98" spans="1:13" ht="15.75" x14ac:dyDescent="0.25">
      <c r="A98" s="4" t="s">
        <v>377</v>
      </c>
      <c r="B98" s="5" t="s">
        <v>378</v>
      </c>
      <c r="C98" s="5" t="s">
        <v>378</v>
      </c>
      <c r="D98" s="5" t="s">
        <v>379</v>
      </c>
      <c r="E98" s="5" t="s">
        <v>12</v>
      </c>
      <c r="F98" s="5" t="s">
        <v>13</v>
      </c>
      <c r="G98" s="5" t="s">
        <v>2</v>
      </c>
      <c r="H98" s="5" t="s">
        <v>21</v>
      </c>
      <c r="I98" s="5">
        <v>2016.846</v>
      </c>
      <c r="J98" s="5">
        <v>9</v>
      </c>
      <c r="K98" s="5">
        <v>0.15</v>
      </c>
      <c r="L98" s="5">
        <v>-5.3999999999999999E-2</v>
      </c>
      <c r="M98" s="6" t="s">
        <v>27</v>
      </c>
    </row>
    <row r="99" spans="1:13" ht="15.75" x14ac:dyDescent="0.25">
      <c r="A99" s="4" t="s">
        <v>380</v>
      </c>
      <c r="B99" s="10">
        <v>41885</v>
      </c>
      <c r="C99" s="7">
        <v>41768</v>
      </c>
      <c r="D99" s="5" t="s">
        <v>131</v>
      </c>
      <c r="E99" s="5" t="s">
        <v>12</v>
      </c>
      <c r="F99" s="5" t="s">
        <v>13</v>
      </c>
      <c r="G99" s="5" t="s">
        <v>10</v>
      </c>
      <c r="H99" s="5" t="s">
        <v>18</v>
      </c>
      <c r="I99" s="5">
        <v>3155.5439999999999</v>
      </c>
      <c r="J99" s="5">
        <v>7</v>
      </c>
      <c r="K99" s="5">
        <v>0.1</v>
      </c>
      <c r="L99" s="5">
        <v>34.944000000000003</v>
      </c>
      <c r="M99" s="6" t="s">
        <v>8</v>
      </c>
    </row>
    <row r="100" spans="1:13" ht="31.5" x14ac:dyDescent="0.25">
      <c r="A100" s="4" t="s">
        <v>381</v>
      </c>
      <c r="B100" s="5" t="s">
        <v>382</v>
      </c>
      <c r="C100" s="7">
        <v>41647</v>
      </c>
      <c r="D100" s="5" t="s">
        <v>383</v>
      </c>
      <c r="E100" s="5" t="s">
        <v>124</v>
      </c>
      <c r="F100" s="5" t="s">
        <v>28</v>
      </c>
      <c r="G100" s="5" t="s">
        <v>2</v>
      </c>
      <c r="H100" s="5" t="s">
        <v>48</v>
      </c>
      <c r="I100" s="5">
        <v>3856.14</v>
      </c>
      <c r="J100" s="5">
        <v>6</v>
      </c>
      <c r="K100" s="5">
        <v>0</v>
      </c>
      <c r="L100" s="5"/>
      <c r="M100" s="6" t="s">
        <v>25</v>
      </c>
    </row>
    <row r="101" spans="1:13" ht="15.75" x14ac:dyDescent="0.25">
      <c r="A101" s="4" t="s">
        <v>384</v>
      </c>
      <c r="B101" s="5" t="s">
        <v>347</v>
      </c>
      <c r="C101" s="5" t="s">
        <v>385</v>
      </c>
      <c r="D101" s="5" t="s">
        <v>386</v>
      </c>
      <c r="E101" s="5" t="s">
        <v>16</v>
      </c>
      <c r="F101" s="5" t="s">
        <v>17</v>
      </c>
      <c r="G101" s="5" t="s">
        <v>2</v>
      </c>
      <c r="H101" s="5" t="s">
        <v>24</v>
      </c>
      <c r="I101" s="5">
        <v>3524.4720000000002</v>
      </c>
      <c r="J101" s="5">
        <v>6</v>
      </c>
      <c r="K101" s="5">
        <v>0.1</v>
      </c>
      <c r="L101" s="5" t="s">
        <v>387</v>
      </c>
      <c r="M101" s="6" t="s">
        <v>25</v>
      </c>
    </row>
    <row r="102" spans="1:13" ht="15.75" x14ac:dyDescent="0.25">
      <c r="A102" s="4"/>
      <c r="B102" s="5" t="s">
        <v>388</v>
      </c>
      <c r="C102" s="5" t="s">
        <v>388</v>
      </c>
      <c r="D102" s="5" t="s">
        <v>389</v>
      </c>
      <c r="E102" s="5" t="s">
        <v>12</v>
      </c>
      <c r="F102" s="5" t="s">
        <v>13</v>
      </c>
      <c r="G102" s="5" t="s">
        <v>2</v>
      </c>
      <c r="H102" s="5" t="s">
        <v>31</v>
      </c>
      <c r="I102" s="5">
        <v>2167.2959999999998</v>
      </c>
      <c r="J102" s="5">
        <v>4</v>
      </c>
      <c r="K102" s="5"/>
      <c r="L102" s="5">
        <v>790.41600000000005</v>
      </c>
      <c r="M102" s="6" t="s">
        <v>8</v>
      </c>
    </row>
    <row r="103" spans="1:13" ht="15.75" x14ac:dyDescent="0.25">
      <c r="A103" s="4" t="s">
        <v>390</v>
      </c>
      <c r="B103" s="7">
        <v>41588</v>
      </c>
      <c r="C103" s="5" t="s">
        <v>391</v>
      </c>
      <c r="D103" s="5" t="s">
        <v>392</v>
      </c>
      <c r="E103" s="5" t="s">
        <v>60</v>
      </c>
      <c r="F103" s="5" t="s">
        <v>61</v>
      </c>
      <c r="G103" s="5" t="s">
        <v>2</v>
      </c>
      <c r="H103" s="5" t="s">
        <v>31</v>
      </c>
      <c r="I103" s="5"/>
      <c r="J103" s="5">
        <v>6</v>
      </c>
      <c r="K103" s="5">
        <v>0</v>
      </c>
      <c r="L103" s="5">
        <v>178.92</v>
      </c>
      <c r="M103" s="6" t="s">
        <v>4</v>
      </c>
    </row>
    <row r="104" spans="1:13" ht="15.75" x14ac:dyDescent="0.25">
      <c r="A104" s="4"/>
      <c r="B104" s="7">
        <v>41129</v>
      </c>
      <c r="C104" s="7">
        <v>41190</v>
      </c>
      <c r="D104" s="5" t="s">
        <v>393</v>
      </c>
      <c r="E104" s="5" t="s">
        <v>20</v>
      </c>
      <c r="F104" s="5" t="s">
        <v>13</v>
      </c>
      <c r="G104" s="5" t="s">
        <v>2</v>
      </c>
      <c r="H104" s="5" t="s">
        <v>31</v>
      </c>
      <c r="I104" s="5">
        <v>1469.25</v>
      </c>
      <c r="J104" s="5">
        <v>5</v>
      </c>
      <c r="K104" s="5">
        <v>0</v>
      </c>
      <c r="L104" s="5">
        <v>308.39999999999998</v>
      </c>
      <c r="M104" s="6" t="s">
        <v>27</v>
      </c>
    </row>
    <row r="105" spans="1:13" ht="15.75" x14ac:dyDescent="0.25">
      <c r="A105" s="4"/>
      <c r="B105" s="7">
        <v>41010</v>
      </c>
      <c r="C105" s="7">
        <v>41132</v>
      </c>
      <c r="D105" s="8" t="s">
        <v>394</v>
      </c>
      <c r="E105" s="5"/>
      <c r="F105" s="5" t="s">
        <v>13</v>
      </c>
      <c r="G105" s="5" t="s">
        <v>2</v>
      </c>
      <c r="H105" s="5" t="s">
        <v>31</v>
      </c>
      <c r="I105" s="5">
        <v>4448.8320000000003</v>
      </c>
      <c r="J105" s="5">
        <v>8</v>
      </c>
      <c r="K105" s="5">
        <v>0.15</v>
      </c>
      <c r="L105" s="5">
        <v>1517.712</v>
      </c>
      <c r="M105" s="6" t="s">
        <v>8</v>
      </c>
    </row>
    <row r="106" spans="1:13" ht="15.75" x14ac:dyDescent="0.25">
      <c r="A106" s="4" t="s">
        <v>395</v>
      </c>
      <c r="B106" s="5" t="s">
        <v>118</v>
      </c>
      <c r="C106" s="7">
        <v>40916</v>
      </c>
      <c r="D106" s="5" t="s">
        <v>314</v>
      </c>
      <c r="E106" s="5" t="s">
        <v>5</v>
      </c>
      <c r="F106" s="5" t="s">
        <v>6</v>
      </c>
      <c r="G106" s="5" t="s">
        <v>10</v>
      </c>
      <c r="H106" s="5" t="s">
        <v>11</v>
      </c>
      <c r="I106" s="5">
        <v>65.78</v>
      </c>
      <c r="J106" s="5">
        <v>11</v>
      </c>
      <c r="K106" s="5">
        <v>0</v>
      </c>
      <c r="L106" s="5">
        <v>32.232199999999999</v>
      </c>
      <c r="M106" s="6" t="s">
        <v>4</v>
      </c>
    </row>
    <row r="107" spans="1:13" ht="15.75" x14ac:dyDescent="0.25">
      <c r="A107" s="4" t="s">
        <v>396</v>
      </c>
      <c r="B107" s="5" t="s">
        <v>397</v>
      </c>
      <c r="C107" s="5" t="s">
        <v>398</v>
      </c>
      <c r="D107" s="5" t="s">
        <v>399</v>
      </c>
      <c r="E107" s="5" t="s">
        <v>400</v>
      </c>
      <c r="F107" s="5" t="s">
        <v>35</v>
      </c>
      <c r="G107" s="5" t="s">
        <v>14</v>
      </c>
      <c r="H107" s="5" t="s">
        <v>31</v>
      </c>
      <c r="I107" s="5"/>
      <c r="J107" s="5">
        <v>9</v>
      </c>
      <c r="K107" s="5">
        <v>0</v>
      </c>
      <c r="L107" s="5">
        <v>914.76</v>
      </c>
      <c r="M107" s="6" t="s">
        <v>8</v>
      </c>
    </row>
    <row r="108" spans="1:13" ht="15.75" x14ac:dyDescent="0.25">
      <c r="A108" s="4" t="s">
        <v>401</v>
      </c>
      <c r="B108" s="5" t="s">
        <v>402</v>
      </c>
      <c r="C108" s="5" t="s">
        <v>402</v>
      </c>
      <c r="D108" s="5" t="s">
        <v>403</v>
      </c>
      <c r="E108" s="5" t="s">
        <v>16</v>
      </c>
      <c r="F108" s="5" t="s">
        <v>17</v>
      </c>
      <c r="G108" s="5" t="s">
        <v>10</v>
      </c>
      <c r="H108" s="5" t="s">
        <v>3</v>
      </c>
      <c r="I108" s="5">
        <v>3739.1759999999999</v>
      </c>
      <c r="J108" s="5">
        <v>8</v>
      </c>
      <c r="K108" s="5">
        <v>0.1</v>
      </c>
      <c r="L108" s="5">
        <v>747.81600000000003</v>
      </c>
      <c r="M108" s="6" t="s">
        <v>8</v>
      </c>
    </row>
    <row r="109" spans="1:13" ht="15.75" x14ac:dyDescent="0.25">
      <c r="A109" s="4" t="s">
        <v>404</v>
      </c>
      <c r="B109" s="5" t="s">
        <v>405</v>
      </c>
      <c r="C109" s="5" t="s">
        <v>405</v>
      </c>
      <c r="D109" s="5" t="s">
        <v>406</v>
      </c>
      <c r="E109" s="5" t="s">
        <v>98</v>
      </c>
      <c r="F109" s="5" t="s">
        <v>13</v>
      </c>
      <c r="G109" s="5" t="s">
        <v>14</v>
      </c>
      <c r="H109" s="5" t="s">
        <v>21</v>
      </c>
      <c r="I109" s="5">
        <v>2570.8649999999998</v>
      </c>
      <c r="J109" s="5">
        <v>11</v>
      </c>
      <c r="K109" s="5">
        <v>0.5</v>
      </c>
      <c r="L109" s="5">
        <v>-2211.165</v>
      </c>
      <c r="M109" s="6" t="s">
        <v>8</v>
      </c>
    </row>
    <row r="110" spans="1:13" ht="15.75" x14ac:dyDescent="0.25">
      <c r="A110" s="4" t="s">
        <v>407</v>
      </c>
      <c r="B110" s="5" t="s">
        <v>332</v>
      </c>
      <c r="C110" s="7">
        <v>41643</v>
      </c>
      <c r="D110" s="5" t="s">
        <v>314</v>
      </c>
      <c r="E110" s="5" t="s">
        <v>5</v>
      </c>
      <c r="F110" s="5" t="s">
        <v>85</v>
      </c>
      <c r="G110" s="5" t="s">
        <v>10</v>
      </c>
      <c r="H110" s="5" t="s">
        <v>24</v>
      </c>
      <c r="I110" s="5">
        <v>31.4</v>
      </c>
      <c r="J110" s="5">
        <v>2</v>
      </c>
      <c r="K110" s="5">
        <v>0</v>
      </c>
      <c r="L110" s="5"/>
      <c r="M110" s="6" t="s">
        <v>4</v>
      </c>
    </row>
    <row r="111" spans="1:13" ht="15.75" x14ac:dyDescent="0.25">
      <c r="A111" s="4" t="s">
        <v>408</v>
      </c>
      <c r="B111" s="7">
        <v>41398</v>
      </c>
      <c r="C111" s="7">
        <v>41398</v>
      </c>
      <c r="D111" s="5" t="s">
        <v>409</v>
      </c>
      <c r="E111" s="5" t="s">
        <v>20</v>
      </c>
      <c r="F111" s="5" t="s">
        <v>13</v>
      </c>
      <c r="G111" s="5" t="s">
        <v>2</v>
      </c>
      <c r="H111" s="5" t="s">
        <v>18</v>
      </c>
      <c r="I111" s="5">
        <v>2875.77</v>
      </c>
      <c r="J111" s="5">
        <v>9</v>
      </c>
      <c r="K111" s="5">
        <v>0.5</v>
      </c>
      <c r="L111" s="5">
        <v>-1783.08</v>
      </c>
      <c r="M111" s="6" t="s">
        <v>8</v>
      </c>
    </row>
    <row r="112" spans="1:13" ht="15.75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</row>
    <row r="113" spans="1:13" ht="15.75" x14ac:dyDescent="0.25">
      <c r="A113" s="4" t="s">
        <v>410</v>
      </c>
      <c r="B113" s="5" t="s">
        <v>411</v>
      </c>
      <c r="C113" s="5" t="s">
        <v>412</v>
      </c>
      <c r="D113" s="5" t="s">
        <v>413</v>
      </c>
      <c r="E113" s="5" t="s">
        <v>16</v>
      </c>
      <c r="F113" s="5" t="s">
        <v>17</v>
      </c>
      <c r="G113" s="5" t="s">
        <v>2</v>
      </c>
      <c r="H113" s="5" t="s">
        <v>31</v>
      </c>
      <c r="I113" s="5">
        <v>1601.64</v>
      </c>
      <c r="J113" s="5">
        <v>5</v>
      </c>
      <c r="K113" s="5">
        <v>0.1</v>
      </c>
      <c r="L113" s="5">
        <v>587.19000000000005</v>
      </c>
      <c r="M113" s="6" t="s">
        <v>27</v>
      </c>
    </row>
    <row r="114" spans="1:13" ht="15.75" x14ac:dyDescent="0.25">
      <c r="A114" s="4" t="s">
        <v>414</v>
      </c>
      <c r="B114" s="5" t="s">
        <v>415</v>
      </c>
      <c r="C114" s="5" t="s">
        <v>416</v>
      </c>
      <c r="D114" s="5" t="s">
        <v>417</v>
      </c>
      <c r="E114" s="5" t="s">
        <v>50</v>
      </c>
      <c r="F114" s="5" t="s">
        <v>51</v>
      </c>
      <c r="G114" s="5" t="s">
        <v>10</v>
      </c>
      <c r="H114" s="5" t="s">
        <v>21</v>
      </c>
      <c r="I114" s="5">
        <v>3670.8</v>
      </c>
      <c r="J114" s="5">
        <v>7</v>
      </c>
      <c r="K114" s="5"/>
      <c r="L114" s="5">
        <v>367.08</v>
      </c>
      <c r="M114" s="6" t="s">
        <v>8</v>
      </c>
    </row>
    <row r="115" spans="1:13" ht="15.75" x14ac:dyDescent="0.25">
      <c r="A115" s="4" t="s">
        <v>418</v>
      </c>
      <c r="B115" s="7">
        <v>42043</v>
      </c>
      <c r="C115" s="7">
        <v>42224</v>
      </c>
      <c r="D115" s="5" t="s">
        <v>314</v>
      </c>
      <c r="E115" s="5" t="s">
        <v>5</v>
      </c>
      <c r="F115" s="8" t="s">
        <v>52</v>
      </c>
      <c r="G115" s="5"/>
      <c r="H115" s="5" t="s">
        <v>11</v>
      </c>
      <c r="I115" s="5">
        <v>36.287999999999997</v>
      </c>
      <c r="J115" s="5">
        <v>7</v>
      </c>
      <c r="K115" s="5">
        <v>0.2</v>
      </c>
      <c r="L115" s="5">
        <v>12.700799999999999</v>
      </c>
      <c r="M115" s="6" t="s">
        <v>4</v>
      </c>
    </row>
    <row r="116" spans="1:13" ht="15.75" x14ac:dyDescent="0.25">
      <c r="A116" s="4"/>
      <c r="B116" s="5" t="s">
        <v>419</v>
      </c>
      <c r="C116" s="5" t="s">
        <v>420</v>
      </c>
      <c r="D116" s="5" t="s">
        <v>421</v>
      </c>
      <c r="E116" s="5" t="s">
        <v>20</v>
      </c>
      <c r="F116" s="5" t="s">
        <v>422</v>
      </c>
      <c r="G116" s="5" t="s">
        <v>2</v>
      </c>
      <c r="H116" s="5" t="s">
        <v>24</v>
      </c>
      <c r="I116" s="5">
        <v>1900.95</v>
      </c>
      <c r="J116" s="5">
        <v>5</v>
      </c>
      <c r="K116" s="5">
        <v>0</v>
      </c>
      <c r="L116" s="5">
        <v>589.20000000000005</v>
      </c>
      <c r="M116" s="6" t="s">
        <v>8</v>
      </c>
    </row>
    <row r="117" spans="1:13" ht="15.75" x14ac:dyDescent="0.25">
      <c r="A117" s="4" t="s">
        <v>313</v>
      </c>
      <c r="B117" s="7">
        <v>42064</v>
      </c>
      <c r="C117" s="7">
        <v>42125</v>
      </c>
      <c r="D117" s="5" t="s">
        <v>314</v>
      </c>
      <c r="E117" s="5" t="s">
        <v>5</v>
      </c>
      <c r="F117" s="5" t="s">
        <v>85</v>
      </c>
      <c r="G117" s="5" t="s">
        <v>10</v>
      </c>
      <c r="H117" s="5" t="s">
        <v>48</v>
      </c>
      <c r="I117" s="5">
        <v>15.66</v>
      </c>
      <c r="J117" s="5">
        <v>5</v>
      </c>
      <c r="K117" s="5">
        <v>0.7</v>
      </c>
      <c r="L117" s="5">
        <v>-12.528</v>
      </c>
      <c r="M117" s="6" t="s">
        <v>8</v>
      </c>
    </row>
    <row r="118" spans="1:13" ht="15.75" x14ac:dyDescent="0.25">
      <c r="A118" s="4" t="s">
        <v>423</v>
      </c>
      <c r="B118" s="5" t="s">
        <v>424</v>
      </c>
      <c r="C118" s="5" t="s">
        <v>199</v>
      </c>
      <c r="D118" s="5" t="s">
        <v>425</v>
      </c>
      <c r="E118" s="5" t="s">
        <v>12</v>
      </c>
      <c r="F118" s="5" t="s">
        <v>13</v>
      </c>
      <c r="G118" s="5" t="s">
        <v>14</v>
      </c>
      <c r="H118" s="5" t="s">
        <v>11</v>
      </c>
      <c r="I118" s="5">
        <v>4544.1000000000004</v>
      </c>
      <c r="J118" s="5">
        <v>11</v>
      </c>
      <c r="K118" s="5">
        <v>0.1</v>
      </c>
      <c r="L118" s="5">
        <v>1868.13</v>
      </c>
      <c r="M118" s="6" t="s">
        <v>4</v>
      </c>
    </row>
    <row r="119" spans="1:13" ht="15.75" x14ac:dyDescent="0.25">
      <c r="A119" s="4" t="s">
        <v>426</v>
      </c>
      <c r="B119" s="5" t="s">
        <v>427</v>
      </c>
      <c r="C119" s="7">
        <v>41676</v>
      </c>
      <c r="D119" s="5" t="s">
        <v>428</v>
      </c>
      <c r="E119" s="5" t="s">
        <v>50</v>
      </c>
      <c r="F119" s="5" t="s">
        <v>51</v>
      </c>
      <c r="G119" s="5" t="s">
        <v>14</v>
      </c>
      <c r="H119" s="5" t="s">
        <v>15</v>
      </c>
      <c r="I119" s="5">
        <v>1455.12</v>
      </c>
      <c r="J119" s="5">
        <v>4</v>
      </c>
      <c r="K119" s="5">
        <v>0</v>
      </c>
      <c r="L119" s="5">
        <v>116.4</v>
      </c>
      <c r="M119" s="6" t="s">
        <v>27</v>
      </c>
    </row>
    <row r="120" spans="1:13" ht="15.75" x14ac:dyDescent="0.25">
      <c r="A120" s="4" t="s">
        <v>429</v>
      </c>
      <c r="B120" s="7">
        <v>41649</v>
      </c>
      <c r="C120" s="7">
        <v>41680</v>
      </c>
      <c r="D120" s="5" t="s">
        <v>37</v>
      </c>
      <c r="E120" s="5" t="s">
        <v>16</v>
      </c>
      <c r="F120" s="5" t="s">
        <v>17</v>
      </c>
      <c r="G120" s="5" t="s">
        <v>2</v>
      </c>
      <c r="H120" s="5" t="s">
        <v>18</v>
      </c>
      <c r="I120" s="5">
        <v>1943.19</v>
      </c>
      <c r="J120" s="5">
        <v>6</v>
      </c>
      <c r="K120" s="5">
        <v>0.1</v>
      </c>
      <c r="L120" s="5">
        <v>258.93</v>
      </c>
      <c r="M120" s="6" t="s">
        <v>8</v>
      </c>
    </row>
    <row r="121" spans="1:13" ht="15.75" x14ac:dyDescent="0.25">
      <c r="A121" s="4" t="s">
        <v>430</v>
      </c>
      <c r="B121" s="7">
        <v>42196</v>
      </c>
      <c r="C121" s="5" t="s">
        <v>49</v>
      </c>
      <c r="D121" s="5" t="s">
        <v>399</v>
      </c>
      <c r="E121" s="5" t="s">
        <v>5</v>
      </c>
      <c r="F121" s="5" t="s">
        <v>39</v>
      </c>
      <c r="G121" s="5" t="s">
        <v>14</v>
      </c>
      <c r="H121" s="5" t="s">
        <v>21</v>
      </c>
      <c r="I121" s="5">
        <v>2036.86</v>
      </c>
      <c r="J121" s="5">
        <v>7</v>
      </c>
      <c r="K121" s="5">
        <v>0</v>
      </c>
      <c r="L121" s="5">
        <v>366.63479999999998</v>
      </c>
      <c r="M121" s="6" t="s">
        <v>25</v>
      </c>
    </row>
    <row r="122" spans="1:13" ht="15.75" x14ac:dyDescent="0.25">
      <c r="A122" s="4" t="s">
        <v>431</v>
      </c>
      <c r="B122" s="7">
        <v>41679</v>
      </c>
      <c r="C122" s="7">
        <v>41738</v>
      </c>
      <c r="D122" s="5" t="s">
        <v>399</v>
      </c>
      <c r="E122" s="5" t="s">
        <v>5</v>
      </c>
      <c r="F122" s="5" t="s">
        <v>293</v>
      </c>
      <c r="G122" s="5" t="s">
        <v>10</v>
      </c>
      <c r="H122" s="5" t="s">
        <v>11</v>
      </c>
      <c r="I122" s="5" t="s">
        <v>55</v>
      </c>
      <c r="J122" s="5">
        <v>4</v>
      </c>
      <c r="K122" s="5">
        <v>0.2</v>
      </c>
      <c r="L122" s="5">
        <v>1415.4295999999999</v>
      </c>
      <c r="M122" s="6" t="s">
        <v>27</v>
      </c>
    </row>
    <row r="123" spans="1:13" ht="15.75" x14ac:dyDescent="0.25">
      <c r="A123" s="4" t="s">
        <v>432</v>
      </c>
      <c r="B123" s="7">
        <v>41955</v>
      </c>
      <c r="C123" s="5" t="s">
        <v>364</v>
      </c>
      <c r="D123" s="5" t="s">
        <v>209</v>
      </c>
      <c r="E123" s="5" t="s">
        <v>16</v>
      </c>
      <c r="F123" s="5" t="s">
        <v>17</v>
      </c>
      <c r="G123" s="5" t="s">
        <v>2</v>
      </c>
      <c r="H123" s="5" t="s">
        <v>48</v>
      </c>
      <c r="I123" s="5">
        <v>1695.87</v>
      </c>
      <c r="J123" s="5">
        <v>5</v>
      </c>
      <c r="K123" s="5">
        <v>0.1</v>
      </c>
      <c r="L123" s="5">
        <v>-37.83</v>
      </c>
      <c r="M123" s="6" t="s">
        <v>27</v>
      </c>
    </row>
    <row r="124" spans="1:13" ht="15.75" x14ac:dyDescent="0.25">
      <c r="A124" s="4" t="s">
        <v>433</v>
      </c>
      <c r="B124" s="5" t="s">
        <v>434</v>
      </c>
      <c r="C124" s="5" t="s">
        <v>435</v>
      </c>
      <c r="D124" s="5" t="s">
        <v>360</v>
      </c>
      <c r="E124" s="5" t="s">
        <v>12</v>
      </c>
      <c r="F124" s="5" t="s">
        <v>13</v>
      </c>
      <c r="G124" s="5" t="s">
        <v>2</v>
      </c>
      <c r="H124" s="5" t="s">
        <v>7</v>
      </c>
      <c r="I124" s="5">
        <v>1505.979</v>
      </c>
      <c r="J124" s="5">
        <v>6</v>
      </c>
      <c r="K124" s="5">
        <v>0.15</v>
      </c>
      <c r="L124" s="5">
        <v>-265.76100000000002</v>
      </c>
      <c r="M124" s="6" t="s">
        <v>27</v>
      </c>
    </row>
    <row r="125" spans="1:13" ht="15.75" x14ac:dyDescent="0.25">
      <c r="A125" s="4" t="s">
        <v>436</v>
      </c>
      <c r="B125" s="5" t="s">
        <v>302</v>
      </c>
      <c r="C125" s="5" t="s">
        <v>99</v>
      </c>
      <c r="D125" s="5" t="s">
        <v>437</v>
      </c>
      <c r="E125" s="5" t="s">
        <v>438</v>
      </c>
      <c r="F125" s="5" t="s">
        <v>43</v>
      </c>
      <c r="G125" s="5" t="s">
        <v>2</v>
      </c>
      <c r="H125" s="5" t="s">
        <v>11</v>
      </c>
      <c r="I125" s="5">
        <v>1954.17</v>
      </c>
      <c r="J125" s="5">
        <v>3</v>
      </c>
      <c r="K125" s="5">
        <v>0</v>
      </c>
      <c r="L125" s="5">
        <v>312.66000000000003</v>
      </c>
      <c r="M125" s="6" t="s">
        <v>27</v>
      </c>
    </row>
    <row r="126" spans="1:13" ht="15.75" x14ac:dyDescent="0.25">
      <c r="A126" s="4" t="s">
        <v>430</v>
      </c>
      <c r="B126" s="7">
        <v>42196</v>
      </c>
      <c r="C126" s="5" t="s">
        <v>49</v>
      </c>
      <c r="D126" s="5" t="s">
        <v>399</v>
      </c>
      <c r="E126" s="5" t="s">
        <v>5</v>
      </c>
      <c r="F126" s="5" t="s">
        <v>39</v>
      </c>
      <c r="G126" s="5" t="s">
        <v>14</v>
      </c>
      <c r="H126" s="5" t="s">
        <v>11</v>
      </c>
      <c r="I126" s="5">
        <v>449.56799999999998</v>
      </c>
      <c r="J126" s="5">
        <v>2</v>
      </c>
      <c r="K126" s="5">
        <v>0.2</v>
      </c>
      <c r="L126" s="5">
        <v>-73.0548</v>
      </c>
      <c r="M126" s="6" t="s">
        <v>25</v>
      </c>
    </row>
    <row r="127" spans="1:13" ht="15.75" x14ac:dyDescent="0.25">
      <c r="A127" s="4" t="s">
        <v>439</v>
      </c>
      <c r="B127" s="5" t="s">
        <v>440</v>
      </c>
      <c r="C127" s="5" t="s">
        <v>111</v>
      </c>
      <c r="D127" s="5" t="s">
        <v>399</v>
      </c>
      <c r="E127" s="5" t="s">
        <v>5</v>
      </c>
      <c r="F127" s="5" t="s">
        <v>85</v>
      </c>
      <c r="G127" s="5" t="s">
        <v>10</v>
      </c>
      <c r="H127" s="5" t="s">
        <v>31</v>
      </c>
      <c r="I127" s="5">
        <v>160.32</v>
      </c>
      <c r="J127" s="5">
        <v>2</v>
      </c>
      <c r="K127" s="5">
        <v>0</v>
      </c>
      <c r="L127" s="5">
        <v>291.20200740000001</v>
      </c>
      <c r="M127" s="6" t="s">
        <v>4</v>
      </c>
    </row>
    <row r="128" spans="1:13" ht="15.75" x14ac:dyDescent="0.25">
      <c r="A128" s="4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"/>
    </row>
    <row r="129" spans="1:13" ht="15.75" x14ac:dyDescent="0.25">
      <c r="A129" s="4" t="s">
        <v>441</v>
      </c>
      <c r="B129" s="5" t="s">
        <v>282</v>
      </c>
      <c r="C129" s="5" t="s">
        <v>282</v>
      </c>
      <c r="D129" s="5" t="s">
        <v>442</v>
      </c>
      <c r="E129" s="5" t="s">
        <v>132</v>
      </c>
      <c r="F129" s="5" t="s">
        <v>35</v>
      </c>
      <c r="G129" s="5" t="s">
        <v>2</v>
      </c>
      <c r="H129" s="5" t="s">
        <v>11</v>
      </c>
      <c r="I129" s="5">
        <v>1213.18876</v>
      </c>
      <c r="J129" s="5">
        <v>7</v>
      </c>
      <c r="K129" s="5">
        <v>2E-3</v>
      </c>
      <c r="L129" s="5">
        <v>508.00876</v>
      </c>
      <c r="M129" s="6" t="s">
        <v>27</v>
      </c>
    </row>
    <row r="130" spans="1:13" ht="15.75" x14ac:dyDescent="0.25">
      <c r="A130" s="4" t="s">
        <v>443</v>
      </c>
      <c r="B130" s="5" t="s">
        <v>80</v>
      </c>
      <c r="C130" s="5" t="s">
        <v>374</v>
      </c>
      <c r="D130" s="5" t="s">
        <v>444</v>
      </c>
      <c r="E130" s="5" t="s">
        <v>38</v>
      </c>
      <c r="F130" s="5" t="s">
        <v>34</v>
      </c>
      <c r="G130" s="5" t="s">
        <v>2</v>
      </c>
      <c r="H130" s="5" t="s">
        <v>18</v>
      </c>
      <c r="I130" s="5">
        <v>1590.6</v>
      </c>
      <c r="J130" s="5">
        <v>5</v>
      </c>
      <c r="K130" s="5"/>
      <c r="L130" s="5">
        <v>572.54999999999995</v>
      </c>
      <c r="M130" s="6" t="s">
        <v>27</v>
      </c>
    </row>
    <row r="131" spans="1:13" ht="15.75" x14ac:dyDescent="0.25">
      <c r="A131" s="4"/>
      <c r="B131" s="7">
        <v>41831</v>
      </c>
      <c r="C131" s="7">
        <v>41923</v>
      </c>
      <c r="D131" s="5" t="s">
        <v>445</v>
      </c>
      <c r="E131" s="5" t="s">
        <v>50</v>
      </c>
      <c r="F131" s="5" t="s">
        <v>51</v>
      </c>
      <c r="G131" s="5" t="s">
        <v>2</v>
      </c>
      <c r="H131" s="5" t="s">
        <v>11</v>
      </c>
      <c r="I131" s="5"/>
      <c r="J131" s="5">
        <v>9</v>
      </c>
      <c r="K131" s="5">
        <v>0</v>
      </c>
      <c r="L131" s="5">
        <v>1025.46</v>
      </c>
      <c r="M131" s="6" t="s">
        <v>27</v>
      </c>
    </row>
    <row r="132" spans="1:13" ht="15.75" x14ac:dyDescent="0.25">
      <c r="A132" s="4" t="s">
        <v>446</v>
      </c>
      <c r="B132" s="5" t="s">
        <v>447</v>
      </c>
      <c r="C132" s="5" t="s">
        <v>448</v>
      </c>
      <c r="D132" s="5" t="s">
        <v>449</v>
      </c>
      <c r="E132" s="5" t="s">
        <v>74</v>
      </c>
      <c r="F132" s="5" t="s">
        <v>43</v>
      </c>
      <c r="G132" s="5" t="s">
        <v>14</v>
      </c>
      <c r="H132" s="5" t="s">
        <v>11</v>
      </c>
      <c r="I132" s="5">
        <v>3278.5848000000001</v>
      </c>
      <c r="J132" s="5">
        <v>8</v>
      </c>
      <c r="K132" s="5">
        <v>7.0000000000000007E-2</v>
      </c>
      <c r="L132" s="5">
        <v>140.82480000000001</v>
      </c>
      <c r="M132" s="6" t="s">
        <v>8</v>
      </c>
    </row>
    <row r="133" spans="1:13" ht="15.75" x14ac:dyDescent="0.25">
      <c r="A133" s="4" t="s">
        <v>450</v>
      </c>
      <c r="B133" s="5" t="s">
        <v>451</v>
      </c>
      <c r="C133" s="5" t="s">
        <v>451</v>
      </c>
      <c r="D133" s="5" t="s">
        <v>320</v>
      </c>
      <c r="E133" s="5" t="s">
        <v>69</v>
      </c>
      <c r="F133" s="5" t="s">
        <v>43</v>
      </c>
      <c r="G133" s="5" t="s">
        <v>2</v>
      </c>
      <c r="H133" s="5" t="s">
        <v>22</v>
      </c>
      <c r="I133" s="5">
        <v>3741.5237999999999</v>
      </c>
      <c r="J133" s="5">
        <v>7</v>
      </c>
      <c r="K133" s="5">
        <v>0.17</v>
      </c>
      <c r="L133" s="5">
        <v>946.63379999999995</v>
      </c>
      <c r="M133" s="6" t="s">
        <v>8</v>
      </c>
    </row>
    <row r="134" spans="1:13" ht="15.75" x14ac:dyDescent="0.25">
      <c r="A134" s="4"/>
      <c r="B134" s="7">
        <v>42166</v>
      </c>
      <c r="C134" s="7">
        <v>42227</v>
      </c>
      <c r="D134" s="5" t="s">
        <v>399</v>
      </c>
      <c r="E134" s="5" t="s">
        <v>5</v>
      </c>
      <c r="F134" s="5" t="s">
        <v>52</v>
      </c>
      <c r="G134" s="5" t="s">
        <v>10</v>
      </c>
      <c r="H134" s="5" t="s">
        <v>21</v>
      </c>
      <c r="I134" s="5">
        <v>67.8</v>
      </c>
      <c r="J134" s="5">
        <v>10</v>
      </c>
      <c r="K134" s="5">
        <v>0</v>
      </c>
      <c r="L134" s="5">
        <v>31.187999999999999</v>
      </c>
      <c r="M134" s="6" t="s">
        <v>8</v>
      </c>
    </row>
    <row r="135" spans="1:13" ht="15.75" x14ac:dyDescent="0.25">
      <c r="A135" s="4" t="s">
        <v>452</v>
      </c>
      <c r="B135" s="7">
        <v>41548</v>
      </c>
      <c r="C135" s="5" t="s">
        <v>453</v>
      </c>
      <c r="D135" s="5" t="s">
        <v>379</v>
      </c>
      <c r="E135" s="5" t="s">
        <v>74</v>
      </c>
      <c r="F135" s="5" t="s">
        <v>43</v>
      </c>
      <c r="G135" s="5" t="s">
        <v>14</v>
      </c>
      <c r="H135" s="5" t="s">
        <v>31</v>
      </c>
      <c r="I135" s="5">
        <v>3637.6019999999999</v>
      </c>
      <c r="J135" s="5">
        <v>10</v>
      </c>
      <c r="K135" s="5">
        <v>7.0000000000000007E-2</v>
      </c>
      <c r="L135" s="5">
        <v>156.40199999999999</v>
      </c>
      <c r="M135" s="6" t="s">
        <v>8</v>
      </c>
    </row>
    <row r="136" spans="1:13" ht="15.75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</row>
    <row r="137" spans="1:13" ht="15.75" x14ac:dyDescent="0.25">
      <c r="A137" s="4" t="s">
        <v>454</v>
      </c>
      <c r="B137" s="5" t="s">
        <v>58</v>
      </c>
      <c r="C137" s="5" t="s">
        <v>108</v>
      </c>
      <c r="D137" s="5" t="s">
        <v>183</v>
      </c>
      <c r="E137" s="5" t="s">
        <v>50</v>
      </c>
      <c r="F137" s="5"/>
      <c r="G137" s="5" t="s">
        <v>2</v>
      </c>
      <c r="H137" s="5" t="s">
        <v>21</v>
      </c>
      <c r="I137" s="5">
        <v>1024.68</v>
      </c>
      <c r="J137" s="5">
        <v>8</v>
      </c>
      <c r="K137" s="5">
        <v>0.5</v>
      </c>
      <c r="L137" s="5"/>
      <c r="M137" s="6"/>
    </row>
    <row r="138" spans="1:13" ht="15.75" x14ac:dyDescent="0.25">
      <c r="A138" s="9" t="s">
        <v>455</v>
      </c>
      <c r="B138" s="5"/>
      <c r="C138" s="7">
        <v>42227</v>
      </c>
      <c r="D138" s="5" t="s">
        <v>399</v>
      </c>
      <c r="E138" s="5" t="s">
        <v>5</v>
      </c>
      <c r="F138" s="5" t="s">
        <v>52</v>
      </c>
      <c r="G138" s="5" t="s">
        <v>10</v>
      </c>
      <c r="H138" s="5" t="s">
        <v>24</v>
      </c>
      <c r="I138" s="5">
        <v>167.94</v>
      </c>
      <c r="J138" s="5">
        <v>3</v>
      </c>
      <c r="K138" s="5">
        <v>0</v>
      </c>
      <c r="L138" s="5">
        <v>82.290599999999998</v>
      </c>
      <c r="M138" s="6" t="s">
        <v>8</v>
      </c>
    </row>
    <row r="139" spans="1:13" ht="15.75" x14ac:dyDescent="0.25">
      <c r="A139" s="4" t="s">
        <v>431</v>
      </c>
      <c r="B139" s="7">
        <v>41679</v>
      </c>
      <c r="C139" s="7">
        <v>41738</v>
      </c>
      <c r="D139" s="5" t="s">
        <v>399</v>
      </c>
      <c r="E139" s="5" t="s">
        <v>5</v>
      </c>
      <c r="F139" s="5" t="s">
        <v>6</v>
      </c>
      <c r="G139" s="5" t="s">
        <v>10</v>
      </c>
      <c r="H139" s="5" t="s">
        <v>48</v>
      </c>
      <c r="I139" s="5"/>
      <c r="J139" s="5">
        <v>2</v>
      </c>
      <c r="K139" s="5">
        <v>0</v>
      </c>
      <c r="L139" s="5">
        <v>83.822606759999999</v>
      </c>
      <c r="M139" s="6" t="s">
        <v>27</v>
      </c>
    </row>
    <row r="140" spans="1:13" ht="15.75" x14ac:dyDescent="0.25">
      <c r="A140" s="4" t="s">
        <v>456</v>
      </c>
      <c r="B140" s="7">
        <v>41437</v>
      </c>
      <c r="C140" s="7">
        <v>41498</v>
      </c>
      <c r="D140" s="5" t="s">
        <v>457</v>
      </c>
      <c r="E140" s="5" t="s">
        <v>94</v>
      </c>
      <c r="F140" s="5" t="s">
        <v>35</v>
      </c>
      <c r="G140" s="5" t="s">
        <v>2</v>
      </c>
      <c r="H140" s="5" t="s">
        <v>18</v>
      </c>
      <c r="I140" s="5">
        <v>2297.96</v>
      </c>
      <c r="J140" s="5">
        <v>14</v>
      </c>
      <c r="K140" s="5">
        <v>0</v>
      </c>
      <c r="L140" s="5">
        <v>988.12</v>
      </c>
      <c r="M140" s="6" t="s">
        <v>8</v>
      </c>
    </row>
    <row r="141" spans="1:13" ht="15.75" x14ac:dyDescent="0.25">
      <c r="A141" s="4" t="s">
        <v>458</v>
      </c>
      <c r="B141" s="7">
        <v>41768</v>
      </c>
      <c r="C141" s="7">
        <v>41829</v>
      </c>
      <c r="D141" s="5" t="s">
        <v>459</v>
      </c>
      <c r="E141" s="5" t="s">
        <v>54</v>
      </c>
      <c r="F141" s="5" t="s">
        <v>67</v>
      </c>
      <c r="G141" s="5" t="s">
        <v>2</v>
      </c>
      <c r="H141" s="5" t="s">
        <v>48</v>
      </c>
      <c r="I141" s="5">
        <v>2671.41</v>
      </c>
      <c r="J141" s="5">
        <v>7</v>
      </c>
      <c r="K141" s="5">
        <v>0</v>
      </c>
      <c r="L141" s="5"/>
      <c r="M141" s="6" t="s">
        <v>8</v>
      </c>
    </row>
    <row r="142" spans="1:13" ht="15.75" x14ac:dyDescent="0.25">
      <c r="A142" s="4" t="s">
        <v>460</v>
      </c>
      <c r="B142" s="5" t="s">
        <v>282</v>
      </c>
      <c r="C142" s="5" t="s">
        <v>461</v>
      </c>
      <c r="D142" s="5" t="s">
        <v>462</v>
      </c>
      <c r="E142" s="5" t="s">
        <v>463</v>
      </c>
      <c r="F142" s="5" t="s">
        <v>26</v>
      </c>
      <c r="G142" s="5" t="s">
        <v>2</v>
      </c>
      <c r="H142" s="5" t="s">
        <v>22</v>
      </c>
      <c r="I142" s="5">
        <v>3834</v>
      </c>
      <c r="J142" s="5">
        <v>6</v>
      </c>
      <c r="K142" s="5">
        <v>0</v>
      </c>
      <c r="L142" s="5">
        <v>268.38</v>
      </c>
      <c r="M142" s="6" t="s">
        <v>8</v>
      </c>
    </row>
    <row r="143" spans="1:13" ht="15.75" x14ac:dyDescent="0.25">
      <c r="A143" s="4" t="s">
        <v>431</v>
      </c>
      <c r="B143" s="7">
        <v>41679</v>
      </c>
      <c r="C143" s="7">
        <v>41738</v>
      </c>
      <c r="D143" s="5" t="s">
        <v>399</v>
      </c>
      <c r="E143" s="5" t="s">
        <v>464</v>
      </c>
      <c r="F143" s="5" t="s">
        <v>6</v>
      </c>
      <c r="G143" s="5" t="s">
        <v>10</v>
      </c>
      <c r="H143" s="5" t="s">
        <v>11</v>
      </c>
      <c r="I143" s="5">
        <v>49.12</v>
      </c>
      <c r="J143" s="5">
        <v>4</v>
      </c>
      <c r="K143" s="5">
        <v>0</v>
      </c>
      <c r="L143" s="5">
        <v>23.086400000000001</v>
      </c>
      <c r="M143" s="6" t="s">
        <v>27</v>
      </c>
    </row>
    <row r="144" spans="1:13" ht="15.75" x14ac:dyDescent="0.25">
      <c r="A144" s="4" t="s">
        <v>465</v>
      </c>
      <c r="B144" s="7">
        <v>41341</v>
      </c>
      <c r="C144" s="7">
        <v>41494</v>
      </c>
      <c r="D144" s="5" t="s">
        <v>466</v>
      </c>
      <c r="E144" s="5" t="s">
        <v>74</v>
      </c>
      <c r="F144" s="5" t="s">
        <v>43</v>
      </c>
      <c r="G144" s="5" t="s">
        <v>10</v>
      </c>
      <c r="H144" s="5" t="s">
        <v>31</v>
      </c>
      <c r="I144" s="5">
        <v>3501.7368000000001</v>
      </c>
      <c r="J144" s="5">
        <v>8</v>
      </c>
      <c r="K144" s="5">
        <v>0.17</v>
      </c>
      <c r="L144" s="5">
        <v>210.85679999999999</v>
      </c>
      <c r="M144" s="6" t="s">
        <v>8</v>
      </c>
    </row>
    <row r="145" spans="1:13" ht="15.75" x14ac:dyDescent="0.25">
      <c r="A145" s="9" t="s">
        <v>467</v>
      </c>
      <c r="B145" s="5"/>
      <c r="C145" s="7">
        <v>42320</v>
      </c>
      <c r="D145" s="5" t="s">
        <v>468</v>
      </c>
      <c r="E145" s="5" t="s">
        <v>16</v>
      </c>
      <c r="F145" s="5" t="s">
        <v>17</v>
      </c>
      <c r="G145" s="5" t="s">
        <v>2</v>
      </c>
      <c r="H145" s="5" t="s">
        <v>18</v>
      </c>
      <c r="I145" s="5">
        <v>1725.462</v>
      </c>
      <c r="J145" s="5">
        <v>3</v>
      </c>
      <c r="K145" s="5">
        <v>0.1</v>
      </c>
      <c r="L145" s="5">
        <v>747.61199999999997</v>
      </c>
      <c r="M145" s="6" t="s">
        <v>8</v>
      </c>
    </row>
    <row r="146" spans="1:13" ht="15.75" x14ac:dyDescent="0.25">
      <c r="A146" s="4" t="s">
        <v>469</v>
      </c>
      <c r="B146" s="5" t="s">
        <v>470</v>
      </c>
      <c r="C146" s="5" t="s">
        <v>471</v>
      </c>
      <c r="D146" s="5" t="s">
        <v>472</v>
      </c>
      <c r="E146" s="5" t="s">
        <v>50</v>
      </c>
      <c r="F146" s="5" t="s">
        <v>51</v>
      </c>
      <c r="G146" s="5" t="s">
        <v>2</v>
      </c>
      <c r="H146" s="5" t="s">
        <v>24</v>
      </c>
      <c r="I146" s="5">
        <v>1583.7</v>
      </c>
      <c r="J146" s="5">
        <v>5</v>
      </c>
      <c r="K146" s="5">
        <v>0</v>
      </c>
      <c r="L146" s="5">
        <v>174.15</v>
      </c>
      <c r="M146" s="6" t="s">
        <v>27</v>
      </c>
    </row>
    <row r="147" spans="1:13" ht="15.75" x14ac:dyDescent="0.25">
      <c r="A147" s="4" t="s">
        <v>473</v>
      </c>
      <c r="B147" s="7">
        <v>42221</v>
      </c>
      <c r="C147" s="5" t="s">
        <v>63</v>
      </c>
      <c r="D147" s="5"/>
      <c r="E147" s="5" t="s">
        <v>5</v>
      </c>
      <c r="F147" s="5" t="s">
        <v>39</v>
      </c>
      <c r="G147" s="5" t="s">
        <v>2</v>
      </c>
      <c r="H147" s="5" t="s">
        <v>31</v>
      </c>
      <c r="I147" s="5">
        <v>79.989999999999995</v>
      </c>
      <c r="J147" s="5">
        <v>1</v>
      </c>
      <c r="K147" s="5" t="s">
        <v>57</v>
      </c>
      <c r="L147" s="5">
        <v>28.796399999999998</v>
      </c>
      <c r="M147" s="6" t="s">
        <v>4</v>
      </c>
    </row>
    <row r="148" spans="1:13" ht="15.75" x14ac:dyDescent="0.25">
      <c r="A148" s="4" t="s">
        <v>474</v>
      </c>
      <c r="B148" s="5" t="s">
        <v>136</v>
      </c>
      <c r="C148" s="5" t="s">
        <v>475</v>
      </c>
      <c r="D148" s="5" t="s">
        <v>476</v>
      </c>
      <c r="E148" s="5" t="s">
        <v>16</v>
      </c>
      <c r="F148" s="5" t="s">
        <v>17</v>
      </c>
      <c r="G148" s="5" t="s">
        <v>14</v>
      </c>
      <c r="H148" s="5" t="s">
        <v>11</v>
      </c>
      <c r="I148" s="5">
        <v>2760.3449999999998</v>
      </c>
      <c r="J148" s="5">
        <v>7</v>
      </c>
      <c r="K148" s="5">
        <v>0.1</v>
      </c>
      <c r="L148" s="5">
        <v>-214.72499999999999</v>
      </c>
      <c r="M148" s="6" t="s">
        <v>8</v>
      </c>
    </row>
    <row r="149" spans="1:13" ht="15.75" x14ac:dyDescent="0.25">
      <c r="A149" s="4"/>
      <c r="B149" s="7">
        <v>41248</v>
      </c>
      <c r="C149" s="5" t="s">
        <v>477</v>
      </c>
      <c r="D149" s="5" t="s">
        <v>373</v>
      </c>
      <c r="E149" s="5" t="s">
        <v>47</v>
      </c>
      <c r="F149" s="5" t="s">
        <v>34</v>
      </c>
      <c r="G149" s="5" t="s">
        <v>2</v>
      </c>
      <c r="H149" s="5" t="s">
        <v>18</v>
      </c>
      <c r="I149" s="5">
        <v>3078.72</v>
      </c>
      <c r="J149" s="5">
        <v>12</v>
      </c>
      <c r="K149" s="5">
        <v>0</v>
      </c>
      <c r="L149" s="5">
        <v>523.08000000000004</v>
      </c>
      <c r="M149" s="6" t="s">
        <v>8</v>
      </c>
    </row>
    <row r="150" spans="1:13" ht="15.75" x14ac:dyDescent="0.25">
      <c r="A150" s="4"/>
      <c r="B150" s="7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6"/>
    </row>
    <row r="151" spans="1:13" ht="15.75" x14ac:dyDescent="0.25">
      <c r="A151" s="4" t="s">
        <v>478</v>
      </c>
      <c r="B151" s="7">
        <v>42043</v>
      </c>
      <c r="C151" s="7">
        <v>42071</v>
      </c>
      <c r="D151" s="5"/>
      <c r="E151" s="5" t="s">
        <v>12</v>
      </c>
      <c r="F151" s="5" t="s">
        <v>13</v>
      </c>
      <c r="G151" s="5" t="s">
        <v>14</v>
      </c>
      <c r="H151" s="5" t="s">
        <v>22</v>
      </c>
      <c r="I151" s="5">
        <v>1112.778</v>
      </c>
      <c r="J151" s="5">
        <v>3</v>
      </c>
      <c r="K151" s="5"/>
      <c r="L151" s="5">
        <v>296.65800000000002</v>
      </c>
      <c r="M151" s="6" t="s">
        <v>27</v>
      </c>
    </row>
    <row r="152" spans="1:13" ht="15.75" x14ac:dyDescent="0.25">
      <c r="A152" s="4" t="s">
        <v>479</v>
      </c>
      <c r="B152" s="5" t="s">
        <v>480</v>
      </c>
      <c r="C152" s="10">
        <v>41173</v>
      </c>
      <c r="D152" s="5" t="s">
        <v>403</v>
      </c>
      <c r="E152" s="5" t="s">
        <v>20</v>
      </c>
      <c r="F152" s="5" t="s">
        <v>13</v>
      </c>
      <c r="G152" s="5" t="s">
        <v>2</v>
      </c>
      <c r="H152" s="5" t="s">
        <v>24</v>
      </c>
      <c r="I152" s="5">
        <v>3616.5</v>
      </c>
      <c r="J152" s="5">
        <v>10</v>
      </c>
      <c r="K152" s="5">
        <v>0</v>
      </c>
      <c r="L152" s="5">
        <v>36</v>
      </c>
      <c r="M152" s="6" t="s">
        <v>27</v>
      </c>
    </row>
    <row r="153" spans="1:13" ht="15.75" x14ac:dyDescent="0.25">
      <c r="A153" s="4" t="s">
        <v>439</v>
      </c>
      <c r="B153" s="5" t="s">
        <v>481</v>
      </c>
      <c r="C153" s="5" t="s">
        <v>111</v>
      </c>
      <c r="D153" s="5" t="s">
        <v>399</v>
      </c>
      <c r="E153" s="5" t="s">
        <v>464</v>
      </c>
      <c r="F153" s="5" t="s">
        <v>85</v>
      </c>
      <c r="G153" s="5" t="s">
        <v>14</v>
      </c>
      <c r="H153" s="5" t="s">
        <v>21</v>
      </c>
      <c r="I153" s="5">
        <v>127.88</v>
      </c>
      <c r="J153" s="5">
        <v>2</v>
      </c>
      <c r="K153" s="5">
        <v>0</v>
      </c>
      <c r="L153" s="5">
        <v>40.921599999999998</v>
      </c>
      <c r="M153" s="6" t="s">
        <v>4</v>
      </c>
    </row>
    <row r="154" spans="1:13" ht="15.75" x14ac:dyDescent="0.25">
      <c r="A154" s="4" t="s">
        <v>482</v>
      </c>
      <c r="B154" s="7">
        <v>41946</v>
      </c>
      <c r="C154" s="5" t="s">
        <v>483</v>
      </c>
      <c r="D154" s="5" t="s">
        <v>484</v>
      </c>
      <c r="E154" s="5" t="s">
        <v>16</v>
      </c>
      <c r="F154" s="5" t="s">
        <v>17</v>
      </c>
      <c r="G154" s="5" t="s">
        <v>2</v>
      </c>
      <c r="H154" s="5" t="s">
        <v>11</v>
      </c>
      <c r="I154" s="5">
        <v>2892.105</v>
      </c>
      <c r="J154" s="5">
        <v>5</v>
      </c>
      <c r="K154" s="5">
        <v>0.1</v>
      </c>
      <c r="L154" s="5">
        <v>160.60499999999999</v>
      </c>
      <c r="M154" s="6" t="s">
        <v>8</v>
      </c>
    </row>
    <row r="155" spans="1:13" ht="15.75" x14ac:dyDescent="0.25">
      <c r="A155" s="4" t="s">
        <v>485</v>
      </c>
      <c r="B155" s="7">
        <v>41276</v>
      </c>
      <c r="C155" s="7">
        <v>41366</v>
      </c>
      <c r="D155" s="5" t="s">
        <v>45</v>
      </c>
      <c r="E155" s="5" t="s">
        <v>20</v>
      </c>
      <c r="F155" s="5" t="s">
        <v>13</v>
      </c>
      <c r="G155" s="5" t="s">
        <v>2</v>
      </c>
      <c r="H155" s="5" t="s">
        <v>48</v>
      </c>
      <c r="I155" s="5">
        <v>3263.4</v>
      </c>
      <c r="J155" s="5">
        <v>5</v>
      </c>
      <c r="K155" s="5">
        <v>0</v>
      </c>
      <c r="L155" s="5">
        <v>848.4</v>
      </c>
      <c r="M155" s="6" t="s">
        <v>93</v>
      </c>
    </row>
    <row r="156" spans="1:13" ht="15.75" x14ac:dyDescent="0.25">
      <c r="A156" s="4" t="s">
        <v>439</v>
      </c>
      <c r="B156" s="5" t="s">
        <v>481</v>
      </c>
      <c r="C156" s="5" t="s">
        <v>111</v>
      </c>
      <c r="D156" s="5" t="s">
        <v>399</v>
      </c>
      <c r="E156" s="5" t="s">
        <v>5</v>
      </c>
      <c r="F156" s="5" t="s">
        <v>85</v>
      </c>
      <c r="G156" s="5" t="s">
        <v>10</v>
      </c>
      <c r="H156" s="5" t="s">
        <v>31</v>
      </c>
      <c r="I156" s="5">
        <v>46</v>
      </c>
      <c r="J156" s="5">
        <v>4</v>
      </c>
      <c r="K156" s="5">
        <v>0</v>
      </c>
      <c r="L156" s="5">
        <v>20.7</v>
      </c>
      <c r="M156" s="6" t="s">
        <v>4</v>
      </c>
    </row>
    <row r="157" spans="1:13" ht="15.75" x14ac:dyDescent="0.25">
      <c r="A157" s="4" t="s">
        <v>486</v>
      </c>
      <c r="B157" s="7">
        <v>42251</v>
      </c>
      <c r="C157" s="5" t="s">
        <v>487</v>
      </c>
      <c r="D157" s="5" t="s">
        <v>488</v>
      </c>
      <c r="E157" s="5" t="s">
        <v>114</v>
      </c>
      <c r="F157" s="5" t="s">
        <v>61</v>
      </c>
      <c r="G157" s="5" t="s">
        <v>14</v>
      </c>
      <c r="H157" s="5" t="s">
        <v>31</v>
      </c>
      <c r="I157" s="5">
        <v>3117.0880000000002</v>
      </c>
      <c r="J157" s="5">
        <v>13</v>
      </c>
      <c r="K157" s="5">
        <v>0.2</v>
      </c>
      <c r="L157" s="5">
        <v>38.948</v>
      </c>
      <c r="M157" s="6" t="s">
        <v>8</v>
      </c>
    </row>
    <row r="158" spans="1:13" ht="15.75" x14ac:dyDescent="0.25">
      <c r="A158" s="4" t="s">
        <v>489</v>
      </c>
      <c r="B158" s="5" t="s">
        <v>490</v>
      </c>
      <c r="C158" s="7">
        <v>41738</v>
      </c>
      <c r="D158" s="5" t="s">
        <v>399</v>
      </c>
      <c r="E158" s="5" t="s">
        <v>5</v>
      </c>
      <c r="F158" s="5" t="s">
        <v>6</v>
      </c>
      <c r="G158" s="5" t="s">
        <v>10</v>
      </c>
      <c r="H158" s="5" t="s">
        <v>21</v>
      </c>
      <c r="I158" s="5">
        <v>27.93</v>
      </c>
      <c r="J158" s="5">
        <v>3</v>
      </c>
      <c r="K158" s="5">
        <v>0</v>
      </c>
      <c r="L158" s="5">
        <v>8.0997000000000003</v>
      </c>
      <c r="M158" s="6" t="s">
        <v>4</v>
      </c>
    </row>
    <row r="159" spans="1:13" ht="15.75" x14ac:dyDescent="0.25">
      <c r="A159" s="4" t="s">
        <v>491</v>
      </c>
      <c r="B159" s="5" t="s">
        <v>492</v>
      </c>
      <c r="C159" s="5" t="s">
        <v>493</v>
      </c>
      <c r="D159" s="5" t="s">
        <v>103</v>
      </c>
      <c r="E159" s="5" t="s">
        <v>60</v>
      </c>
      <c r="F159" s="5" t="s">
        <v>61</v>
      </c>
      <c r="G159" s="5" t="s">
        <v>10</v>
      </c>
      <c r="H159" s="5" t="s">
        <v>3</v>
      </c>
      <c r="I159" s="5">
        <v>1888.7</v>
      </c>
      <c r="J159" s="5">
        <v>5</v>
      </c>
      <c r="K159" s="5">
        <v>0</v>
      </c>
      <c r="L159" s="5">
        <v>887.6</v>
      </c>
      <c r="M159" s="6" t="s">
        <v>8</v>
      </c>
    </row>
    <row r="160" spans="1:13" ht="15.75" x14ac:dyDescent="0.25">
      <c r="A160" s="4" t="s">
        <v>494</v>
      </c>
      <c r="B160" s="7">
        <v>41680</v>
      </c>
      <c r="C160" s="7">
        <v>41739</v>
      </c>
      <c r="D160" s="5" t="s">
        <v>152</v>
      </c>
      <c r="E160" s="5" t="s">
        <v>50</v>
      </c>
      <c r="F160" s="5" t="s">
        <v>51</v>
      </c>
      <c r="G160" s="5" t="s">
        <v>10</v>
      </c>
      <c r="H160" s="5" t="s">
        <v>48</v>
      </c>
      <c r="I160" s="5">
        <v>3000.78</v>
      </c>
      <c r="J160" s="5">
        <v>6</v>
      </c>
      <c r="K160" s="5">
        <v>0</v>
      </c>
      <c r="L160" s="5">
        <v>1080.18</v>
      </c>
      <c r="M160" s="6" t="s">
        <v>8</v>
      </c>
    </row>
    <row r="161" spans="1:13" ht="15.75" x14ac:dyDescent="0.25">
      <c r="A161" s="4" t="s">
        <v>495</v>
      </c>
      <c r="B161" s="7">
        <v>41974</v>
      </c>
      <c r="C161" s="5" t="s">
        <v>496</v>
      </c>
      <c r="D161" s="5"/>
      <c r="E161" s="5" t="s">
        <v>66</v>
      </c>
      <c r="F161" s="5" t="s">
        <v>67</v>
      </c>
      <c r="G161" s="5" t="s">
        <v>10</v>
      </c>
      <c r="H161" s="5" t="s">
        <v>24</v>
      </c>
      <c r="I161" s="5">
        <v>3801.63</v>
      </c>
      <c r="J161" s="5">
        <v>7</v>
      </c>
      <c r="K161" s="5">
        <v>0</v>
      </c>
      <c r="L161" s="5">
        <v>1444.59</v>
      </c>
      <c r="M161" s="6" t="s">
        <v>4</v>
      </c>
    </row>
    <row r="162" spans="1:13" ht="15.75" x14ac:dyDescent="0.25">
      <c r="A162" s="4" t="s">
        <v>497</v>
      </c>
      <c r="B162" s="5" t="s">
        <v>498</v>
      </c>
      <c r="C162" s="5" t="s">
        <v>499</v>
      </c>
      <c r="D162" s="5" t="s">
        <v>500</v>
      </c>
      <c r="E162" s="5" t="s">
        <v>59</v>
      </c>
      <c r="F162" s="5" t="s">
        <v>30</v>
      </c>
      <c r="G162" s="5" t="s">
        <v>2</v>
      </c>
      <c r="H162" s="5" t="s">
        <v>24</v>
      </c>
      <c r="I162" s="5">
        <v>5211.12</v>
      </c>
      <c r="J162" s="5">
        <v>8</v>
      </c>
      <c r="K162" s="5">
        <v>0</v>
      </c>
      <c r="L162" s="5">
        <v>1146.24</v>
      </c>
      <c r="M162" s="6" t="s">
        <v>4</v>
      </c>
    </row>
    <row r="163" spans="1:13" ht="15.75" x14ac:dyDescent="0.25">
      <c r="A163" s="4" t="s">
        <v>216</v>
      </c>
      <c r="B163" s="5" t="s">
        <v>217</v>
      </c>
      <c r="C163" s="5" t="s">
        <v>46</v>
      </c>
      <c r="D163" s="5" t="s">
        <v>68</v>
      </c>
      <c r="E163" s="5" t="s">
        <v>218</v>
      </c>
      <c r="F163" s="8" t="s">
        <v>51</v>
      </c>
      <c r="G163" s="5"/>
      <c r="H163" s="5" t="s">
        <v>24</v>
      </c>
      <c r="I163" s="5">
        <v>1356.03</v>
      </c>
      <c r="J163" s="5">
        <v>3</v>
      </c>
      <c r="K163" s="5">
        <v>0</v>
      </c>
      <c r="L163" s="5">
        <v>311.85000000000002</v>
      </c>
      <c r="M163" s="6" t="s">
        <v>27</v>
      </c>
    </row>
    <row r="164" spans="1:13" ht="15.75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</row>
    <row r="165" spans="1:13" ht="15.75" x14ac:dyDescent="0.25">
      <c r="A165" s="4" t="s">
        <v>501</v>
      </c>
      <c r="B165" s="5" t="s">
        <v>126</v>
      </c>
      <c r="C165" s="5" t="s">
        <v>502</v>
      </c>
      <c r="D165" s="5" t="s">
        <v>399</v>
      </c>
      <c r="E165" s="5" t="s">
        <v>5</v>
      </c>
      <c r="F165" s="5" t="s">
        <v>39</v>
      </c>
      <c r="G165" s="5" t="s">
        <v>10</v>
      </c>
      <c r="H165" s="5" t="s">
        <v>3</v>
      </c>
      <c r="I165" s="5">
        <v>18.54</v>
      </c>
      <c r="J165" s="5">
        <v>2</v>
      </c>
      <c r="K165" s="5">
        <v>0</v>
      </c>
      <c r="L165" s="5">
        <v>8.7138000000000009</v>
      </c>
      <c r="M165" s="6" t="s">
        <v>4</v>
      </c>
    </row>
    <row r="166" spans="1:13" ht="15.75" x14ac:dyDescent="0.25">
      <c r="A166" s="4" t="s">
        <v>503</v>
      </c>
      <c r="B166" s="7">
        <v>42254</v>
      </c>
      <c r="C166" s="5" t="s">
        <v>504</v>
      </c>
      <c r="D166" s="5"/>
      <c r="E166" s="5" t="s">
        <v>74</v>
      </c>
      <c r="F166" s="5" t="s">
        <v>43</v>
      </c>
      <c r="G166" s="5" t="s">
        <v>14</v>
      </c>
      <c r="H166" s="5" t="s">
        <v>24</v>
      </c>
      <c r="I166" s="5">
        <v>2910.0816</v>
      </c>
      <c r="J166" s="5">
        <v>8</v>
      </c>
      <c r="K166" s="5">
        <v>7.0000000000000007E-2</v>
      </c>
      <c r="L166" s="5">
        <v>125.1216</v>
      </c>
      <c r="M166" s="6" t="s">
        <v>8</v>
      </c>
    </row>
    <row r="167" spans="1:13" ht="15.75" x14ac:dyDescent="0.25">
      <c r="A167" s="4" t="s">
        <v>505</v>
      </c>
      <c r="B167" s="7">
        <v>41949</v>
      </c>
      <c r="C167" s="5" t="s">
        <v>97</v>
      </c>
      <c r="D167" s="5" t="s">
        <v>506</v>
      </c>
      <c r="E167" s="5" t="s">
        <v>74</v>
      </c>
      <c r="F167" s="5" t="s">
        <v>43</v>
      </c>
      <c r="G167" s="5" t="s">
        <v>14</v>
      </c>
      <c r="H167" s="5" t="s">
        <v>22</v>
      </c>
      <c r="I167" s="5">
        <v>3126.4002</v>
      </c>
      <c r="J167" s="5">
        <v>9</v>
      </c>
      <c r="K167" s="5">
        <v>0.27</v>
      </c>
      <c r="L167" s="5">
        <v>-128.71979999999999</v>
      </c>
      <c r="M167" s="6" t="s">
        <v>8</v>
      </c>
    </row>
    <row r="168" spans="1:13" ht="15.75" x14ac:dyDescent="0.25">
      <c r="A168" s="4" t="s">
        <v>507</v>
      </c>
      <c r="B168" s="7">
        <v>41160</v>
      </c>
      <c r="C168" s="5" t="s">
        <v>133</v>
      </c>
      <c r="D168" s="5" t="s">
        <v>508</v>
      </c>
      <c r="E168" s="5" t="s">
        <v>0</v>
      </c>
      <c r="F168" s="5" t="s">
        <v>1</v>
      </c>
      <c r="G168" s="5" t="s">
        <v>2</v>
      </c>
      <c r="H168" s="5" t="s">
        <v>21</v>
      </c>
      <c r="I168" s="5">
        <v>5276.9880000000003</v>
      </c>
      <c r="J168" s="5">
        <v>9</v>
      </c>
      <c r="K168" s="5">
        <v>0.1</v>
      </c>
      <c r="L168" s="5">
        <v>1758.8879999999999</v>
      </c>
      <c r="M168" s="6" t="s">
        <v>4</v>
      </c>
    </row>
    <row r="169" spans="1:13" ht="15.75" x14ac:dyDescent="0.25">
      <c r="A169" s="4"/>
      <c r="B169" s="5" t="s">
        <v>509</v>
      </c>
      <c r="C169" s="5" t="s">
        <v>493</v>
      </c>
      <c r="D169" s="5" t="s">
        <v>134</v>
      </c>
      <c r="E169" s="5" t="s">
        <v>69</v>
      </c>
      <c r="F169" s="5" t="s">
        <v>43</v>
      </c>
      <c r="G169" s="5" t="s">
        <v>2</v>
      </c>
      <c r="H169" s="5" t="s">
        <v>18</v>
      </c>
      <c r="I169" s="5">
        <v>2645.3760000000002</v>
      </c>
      <c r="J169" s="5">
        <v>5</v>
      </c>
      <c r="K169" s="5">
        <v>0.17</v>
      </c>
      <c r="L169" s="5">
        <v>-2.4E-2</v>
      </c>
      <c r="M169" s="6" t="s">
        <v>8</v>
      </c>
    </row>
    <row r="170" spans="1:13" ht="15.75" x14ac:dyDescent="0.25">
      <c r="A170" s="4" t="s">
        <v>510</v>
      </c>
      <c r="B170" s="7">
        <v>41671</v>
      </c>
      <c r="C170" s="7">
        <v>41699</v>
      </c>
      <c r="D170" s="5" t="s">
        <v>511</v>
      </c>
      <c r="E170" s="5" t="s">
        <v>16</v>
      </c>
      <c r="F170" s="5" t="s">
        <v>17</v>
      </c>
      <c r="G170" s="5" t="s">
        <v>14</v>
      </c>
      <c r="H170" s="5" t="s">
        <v>31</v>
      </c>
      <c r="I170" s="5">
        <v>1637.01</v>
      </c>
      <c r="J170" s="5">
        <v>5</v>
      </c>
      <c r="K170" s="5">
        <v>0.1</v>
      </c>
      <c r="L170" s="5">
        <v>-36.39</v>
      </c>
      <c r="M170" s="6" t="s">
        <v>4</v>
      </c>
    </row>
    <row r="171" spans="1:13" ht="15.75" x14ac:dyDescent="0.25">
      <c r="A171" s="4" t="s">
        <v>431</v>
      </c>
      <c r="B171" s="7">
        <v>41679</v>
      </c>
      <c r="C171" s="7">
        <v>41738</v>
      </c>
      <c r="D171" s="5" t="s">
        <v>399</v>
      </c>
      <c r="E171" s="5" t="s">
        <v>5</v>
      </c>
      <c r="F171" s="5" t="s">
        <v>6</v>
      </c>
      <c r="G171" s="5" t="s">
        <v>10</v>
      </c>
      <c r="H171" s="5" t="s">
        <v>31</v>
      </c>
      <c r="I171" s="5">
        <v>3.048</v>
      </c>
      <c r="J171" s="5">
        <v>1</v>
      </c>
      <c r="K171" s="5">
        <v>0.2</v>
      </c>
      <c r="L171" s="5">
        <v>1.0668</v>
      </c>
      <c r="M171" s="6" t="s">
        <v>27</v>
      </c>
    </row>
    <row r="172" spans="1:13" ht="15.75" x14ac:dyDescent="0.25">
      <c r="A172" s="4" t="s">
        <v>512</v>
      </c>
      <c r="B172" s="7">
        <v>41557</v>
      </c>
      <c r="C172" s="7">
        <v>41588</v>
      </c>
      <c r="D172" s="8" t="s">
        <v>77</v>
      </c>
      <c r="E172" s="5"/>
      <c r="F172" s="5" t="s">
        <v>43</v>
      </c>
      <c r="G172" s="5" t="s">
        <v>2</v>
      </c>
      <c r="H172" s="5" t="s">
        <v>21</v>
      </c>
      <c r="I172" s="5">
        <v>2645.3760000000002</v>
      </c>
      <c r="J172" s="5">
        <v>5</v>
      </c>
      <c r="K172" s="5" t="s">
        <v>513</v>
      </c>
      <c r="L172" s="5">
        <v>-2.4E-2</v>
      </c>
      <c r="M172" s="6" t="s">
        <v>8</v>
      </c>
    </row>
    <row r="173" spans="1:13" ht="15.75" x14ac:dyDescent="0.25">
      <c r="A173" s="4" t="s">
        <v>431</v>
      </c>
      <c r="B173" s="7">
        <v>41679</v>
      </c>
      <c r="C173" s="7">
        <v>41738</v>
      </c>
      <c r="D173" s="5"/>
      <c r="E173" s="5" t="s">
        <v>5</v>
      </c>
      <c r="F173" s="5" t="s">
        <v>6</v>
      </c>
      <c r="G173" s="5" t="s">
        <v>2</v>
      </c>
      <c r="H173" s="5" t="s">
        <v>48</v>
      </c>
      <c r="I173" s="5" t="s">
        <v>514</v>
      </c>
      <c r="J173" s="5">
        <v>1</v>
      </c>
      <c r="K173" s="5" t="s">
        <v>57</v>
      </c>
      <c r="L173" s="5">
        <v>2.3086000000000002</v>
      </c>
      <c r="M173" s="6" t="s">
        <v>27</v>
      </c>
    </row>
    <row r="174" spans="1:13" ht="47.25" x14ac:dyDescent="0.25">
      <c r="A174" s="4" t="s">
        <v>515</v>
      </c>
      <c r="B174" s="5" t="s">
        <v>150</v>
      </c>
      <c r="C174" s="5" t="s">
        <v>151</v>
      </c>
      <c r="D174" s="5" t="s">
        <v>516</v>
      </c>
      <c r="E174" s="5" t="s">
        <v>50</v>
      </c>
      <c r="F174" s="5" t="s">
        <v>51</v>
      </c>
      <c r="G174" s="5" t="s">
        <v>14</v>
      </c>
      <c r="H174" s="5" t="s">
        <v>31</v>
      </c>
      <c r="I174" s="5">
        <v>3238.3049999999998</v>
      </c>
      <c r="J174" s="5">
        <v>5</v>
      </c>
      <c r="K174" s="5">
        <v>0.3</v>
      </c>
      <c r="L174" s="5" t="s">
        <v>517</v>
      </c>
      <c r="M174" s="6" t="s">
        <v>8</v>
      </c>
    </row>
    <row r="175" spans="1:13" ht="15.75" x14ac:dyDescent="0.25">
      <c r="A175" s="4" t="s">
        <v>518</v>
      </c>
      <c r="B175" s="7">
        <v>42067</v>
      </c>
      <c r="C175" s="7">
        <v>42128</v>
      </c>
      <c r="D175" s="5" t="s">
        <v>519</v>
      </c>
      <c r="E175" s="5" t="s">
        <v>0</v>
      </c>
      <c r="F175" s="5" t="s">
        <v>1</v>
      </c>
      <c r="G175" s="5" t="s">
        <v>14</v>
      </c>
      <c r="H175" s="5" t="s">
        <v>31</v>
      </c>
      <c r="I175" s="5">
        <v>2291.8139999999999</v>
      </c>
      <c r="J175" s="5">
        <v>7</v>
      </c>
      <c r="K175" s="5">
        <v>0.1</v>
      </c>
      <c r="L175" s="5"/>
      <c r="M175" s="6" t="s">
        <v>8</v>
      </c>
    </row>
    <row r="176" spans="1:13" ht="15.75" x14ac:dyDescent="0.25">
      <c r="A176" s="4" t="s">
        <v>520</v>
      </c>
      <c r="B176" s="5" t="s">
        <v>477</v>
      </c>
      <c r="C176" s="5" t="s">
        <v>521</v>
      </c>
      <c r="D176" s="5" t="s">
        <v>522</v>
      </c>
      <c r="E176" s="5" t="s">
        <v>60</v>
      </c>
      <c r="F176" s="5" t="s">
        <v>61</v>
      </c>
      <c r="G176" s="5" t="s">
        <v>2</v>
      </c>
      <c r="H176" s="5" t="s">
        <v>3</v>
      </c>
      <c r="I176" s="5">
        <v>2124.5</v>
      </c>
      <c r="J176" s="5">
        <v>5</v>
      </c>
      <c r="K176" s="5">
        <v>0</v>
      </c>
      <c r="L176" s="5">
        <v>488.6</v>
      </c>
      <c r="M176" s="6" t="s">
        <v>8</v>
      </c>
    </row>
    <row r="177" spans="1:13" ht="15.75" x14ac:dyDescent="0.25">
      <c r="A177" s="4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</row>
    <row r="178" spans="1:13" ht="15.75" x14ac:dyDescent="0.25">
      <c r="A178" s="4" t="s">
        <v>523</v>
      </c>
      <c r="B178" s="7">
        <v>41983</v>
      </c>
      <c r="C178" s="7">
        <v>41983</v>
      </c>
      <c r="D178" s="5" t="s">
        <v>524</v>
      </c>
      <c r="E178" s="5" t="s">
        <v>66</v>
      </c>
      <c r="F178" s="5" t="s">
        <v>67</v>
      </c>
      <c r="G178" s="5" t="s">
        <v>2</v>
      </c>
      <c r="H178" s="5" t="s">
        <v>31</v>
      </c>
      <c r="I178" s="5">
        <v>1549.98</v>
      </c>
      <c r="J178" s="5">
        <v>6</v>
      </c>
      <c r="K178" s="5">
        <v>0</v>
      </c>
      <c r="L178" s="5">
        <v>139.32</v>
      </c>
      <c r="M178" s="6" t="s">
        <v>27</v>
      </c>
    </row>
    <row r="179" spans="1:13" ht="15.75" x14ac:dyDescent="0.25">
      <c r="A179" s="4" t="s">
        <v>525</v>
      </c>
      <c r="B179" s="5" t="s">
        <v>129</v>
      </c>
      <c r="C179" s="5" t="s">
        <v>121</v>
      </c>
      <c r="D179" s="5" t="s">
        <v>399</v>
      </c>
      <c r="E179" s="5" t="s">
        <v>5</v>
      </c>
      <c r="F179" s="8" t="s">
        <v>6</v>
      </c>
      <c r="G179" s="5"/>
      <c r="H179" s="5" t="s">
        <v>18</v>
      </c>
      <c r="I179" s="5">
        <v>20.736000000000001</v>
      </c>
      <c r="J179" s="5">
        <v>4</v>
      </c>
      <c r="K179" s="5">
        <v>0.2</v>
      </c>
      <c r="L179" s="5">
        <v>7.2576000000000001</v>
      </c>
      <c r="M179" s="6" t="s">
        <v>8</v>
      </c>
    </row>
    <row r="180" spans="1:13" ht="15.75" x14ac:dyDescent="0.25">
      <c r="A180" s="4" t="s">
        <v>526</v>
      </c>
      <c r="B180" s="5" t="s">
        <v>527</v>
      </c>
      <c r="C180" s="5" t="s">
        <v>447</v>
      </c>
      <c r="D180" s="5" t="s">
        <v>142</v>
      </c>
      <c r="E180" s="5" t="s">
        <v>528</v>
      </c>
      <c r="F180" s="5" t="s">
        <v>32</v>
      </c>
      <c r="G180" s="5" t="s">
        <v>10</v>
      </c>
      <c r="H180" s="5" t="s">
        <v>22</v>
      </c>
      <c r="I180" s="5">
        <v>3146.4</v>
      </c>
      <c r="J180" s="5">
        <v>6</v>
      </c>
      <c r="K180" s="5">
        <v>0</v>
      </c>
      <c r="L180" s="5">
        <v>629.28</v>
      </c>
      <c r="M180" s="6" t="s">
        <v>27</v>
      </c>
    </row>
    <row r="181" spans="1:13" ht="15.75" x14ac:dyDescent="0.25">
      <c r="A181" s="4" t="s">
        <v>529</v>
      </c>
      <c r="B181" s="5" t="s">
        <v>138</v>
      </c>
      <c r="C181" s="5" t="s">
        <v>120</v>
      </c>
      <c r="D181" s="5" t="s">
        <v>9</v>
      </c>
      <c r="E181" s="5" t="s">
        <v>12</v>
      </c>
      <c r="F181" s="5" t="s">
        <v>13</v>
      </c>
      <c r="G181" s="5" t="s">
        <v>2</v>
      </c>
      <c r="H181" s="5" t="s">
        <v>48</v>
      </c>
      <c r="I181" s="5">
        <v>2456.6190000000001</v>
      </c>
      <c r="J181" s="5">
        <v>11</v>
      </c>
      <c r="K181" s="5">
        <v>0.15</v>
      </c>
      <c r="L181" s="5">
        <v>664.71900000000005</v>
      </c>
      <c r="M181" s="6" t="s">
        <v>25</v>
      </c>
    </row>
    <row r="182" spans="1:13" ht="15.75" x14ac:dyDescent="0.25">
      <c r="A182" s="4" t="s">
        <v>530</v>
      </c>
      <c r="B182" s="5" t="s">
        <v>531</v>
      </c>
      <c r="C182" s="7">
        <v>40914</v>
      </c>
      <c r="D182" s="5" t="s">
        <v>532</v>
      </c>
      <c r="E182" s="5" t="s">
        <v>12</v>
      </c>
      <c r="F182" s="5" t="s">
        <v>13</v>
      </c>
      <c r="G182" s="5" t="s">
        <v>14</v>
      </c>
      <c r="H182" s="5" t="s">
        <v>24</v>
      </c>
      <c r="I182" s="5">
        <v>2228.6354999999999</v>
      </c>
      <c r="J182" s="5">
        <v>7</v>
      </c>
      <c r="K182" s="5">
        <v>0.35</v>
      </c>
      <c r="L182" s="5"/>
      <c r="M182" s="6" t="s">
        <v>27</v>
      </c>
    </row>
    <row r="183" spans="1:13" ht="15.75" x14ac:dyDescent="0.25">
      <c r="A183" s="4" t="s">
        <v>455</v>
      </c>
      <c r="B183" s="7">
        <v>42166</v>
      </c>
      <c r="C183" s="7">
        <v>42227</v>
      </c>
      <c r="D183" s="5" t="s">
        <v>399</v>
      </c>
      <c r="E183" s="5" t="s">
        <v>5</v>
      </c>
      <c r="F183" s="5" t="s">
        <v>52</v>
      </c>
      <c r="G183" s="5" t="s">
        <v>10</v>
      </c>
      <c r="H183" s="5" t="s">
        <v>48</v>
      </c>
      <c r="I183" s="5">
        <v>4.41</v>
      </c>
      <c r="J183" s="5">
        <v>1</v>
      </c>
      <c r="K183" s="5">
        <v>0</v>
      </c>
      <c r="L183" s="5">
        <v>2.0286</v>
      </c>
      <c r="M183" s="6" t="s">
        <v>8</v>
      </c>
    </row>
    <row r="184" spans="1:13" ht="15.75" x14ac:dyDescent="0.25">
      <c r="A184" s="4"/>
      <c r="B184" s="5" t="s">
        <v>527</v>
      </c>
      <c r="C184" s="5" t="s">
        <v>533</v>
      </c>
      <c r="D184" s="5" t="s">
        <v>83</v>
      </c>
      <c r="E184" s="5" t="s">
        <v>38</v>
      </c>
      <c r="F184" s="5" t="s">
        <v>34</v>
      </c>
      <c r="G184" s="5" t="s">
        <v>10</v>
      </c>
      <c r="H184" s="5" t="s">
        <v>3</v>
      </c>
      <c r="I184" s="5">
        <v>4001.04</v>
      </c>
      <c r="J184" s="5">
        <v>8</v>
      </c>
      <c r="K184" s="5">
        <v>0</v>
      </c>
      <c r="L184" s="5"/>
      <c r="M184" s="6" t="s">
        <v>4</v>
      </c>
    </row>
    <row r="185" spans="1:13" ht="15.75" x14ac:dyDescent="0.25">
      <c r="A185" s="4" t="s">
        <v>534</v>
      </c>
      <c r="B185" s="5" t="s">
        <v>272</v>
      </c>
      <c r="C185" s="7">
        <v>42072</v>
      </c>
      <c r="D185" s="5" t="s">
        <v>535</v>
      </c>
      <c r="E185" s="5" t="s">
        <v>12</v>
      </c>
      <c r="F185" s="5" t="s">
        <v>13</v>
      </c>
      <c r="G185" s="5" t="s">
        <v>2</v>
      </c>
      <c r="H185" s="5" t="s">
        <v>11</v>
      </c>
      <c r="I185" s="5">
        <v>4876.875</v>
      </c>
      <c r="J185" s="5">
        <v>9</v>
      </c>
      <c r="K185" s="5">
        <v>0.15</v>
      </c>
      <c r="L185" s="5">
        <v>745.875</v>
      </c>
      <c r="M185" s="6" t="s">
        <v>4</v>
      </c>
    </row>
    <row r="186" spans="1:13" ht="15.75" x14ac:dyDescent="0.25">
      <c r="A186" s="4"/>
      <c r="B186" s="5" t="s">
        <v>36</v>
      </c>
      <c r="C186" s="5" t="s">
        <v>36</v>
      </c>
      <c r="D186" s="5" t="s">
        <v>536</v>
      </c>
      <c r="E186" s="5" t="s">
        <v>16</v>
      </c>
      <c r="F186" s="5" t="s">
        <v>17</v>
      </c>
      <c r="G186" s="5" t="s">
        <v>14</v>
      </c>
      <c r="H186" s="5" t="s">
        <v>24</v>
      </c>
      <c r="I186" s="5">
        <v>1788.8219999999999</v>
      </c>
      <c r="J186" s="5">
        <v>6</v>
      </c>
      <c r="K186" s="5">
        <v>0.3</v>
      </c>
      <c r="L186" s="5">
        <v>204.28200000000001</v>
      </c>
      <c r="M186" s="6" t="s">
        <v>27</v>
      </c>
    </row>
    <row r="187" spans="1:13" ht="15.75" x14ac:dyDescent="0.25">
      <c r="A187" s="4" t="s">
        <v>252</v>
      </c>
      <c r="B187" s="7">
        <v>42319</v>
      </c>
      <c r="C187" s="5" t="s">
        <v>253</v>
      </c>
      <c r="D187" s="5" t="s">
        <v>254</v>
      </c>
      <c r="E187" s="5" t="s">
        <v>38</v>
      </c>
      <c r="F187" s="5" t="s">
        <v>34</v>
      </c>
      <c r="G187" s="5" t="s">
        <v>10</v>
      </c>
      <c r="H187" s="5" t="s">
        <v>31</v>
      </c>
      <c r="I187" s="5">
        <v>3622.29</v>
      </c>
      <c r="J187" s="5">
        <v>7</v>
      </c>
      <c r="K187" s="5">
        <v>0</v>
      </c>
      <c r="L187" s="5">
        <v>1267.77</v>
      </c>
      <c r="M187" s="6" t="s">
        <v>8</v>
      </c>
    </row>
    <row r="188" spans="1:13" ht="15.75" x14ac:dyDescent="0.25">
      <c r="A188" s="4" t="s">
        <v>537</v>
      </c>
      <c r="B188" s="7">
        <v>41644</v>
      </c>
      <c r="C188" s="7">
        <v>41734</v>
      </c>
      <c r="D188" s="5"/>
      <c r="E188" s="5" t="s">
        <v>74</v>
      </c>
      <c r="F188" s="5" t="s">
        <v>43</v>
      </c>
      <c r="G188" s="5" t="s">
        <v>14</v>
      </c>
      <c r="H188" s="5" t="s">
        <v>3</v>
      </c>
      <c r="I188" s="5">
        <v>1242.585</v>
      </c>
      <c r="J188" s="5">
        <v>5</v>
      </c>
      <c r="K188" s="5">
        <v>0.47</v>
      </c>
      <c r="L188" s="5">
        <v>-140.715</v>
      </c>
      <c r="M188" s="6" t="s">
        <v>27</v>
      </c>
    </row>
    <row r="189" spans="1:13" ht="15.75" x14ac:dyDescent="0.25">
      <c r="A189" s="4" t="s">
        <v>538</v>
      </c>
      <c r="B189" s="5" t="s">
        <v>82</v>
      </c>
      <c r="C189" s="5" t="s">
        <v>539</v>
      </c>
      <c r="D189" s="5" t="s">
        <v>540</v>
      </c>
      <c r="E189" s="5" t="s">
        <v>0</v>
      </c>
      <c r="F189" s="5" t="s">
        <v>1</v>
      </c>
      <c r="G189" s="5" t="s">
        <v>2</v>
      </c>
      <c r="H189" s="5" t="s">
        <v>24</v>
      </c>
      <c r="I189" s="5">
        <v>4453.05</v>
      </c>
      <c r="J189" s="5">
        <v>7</v>
      </c>
      <c r="K189" s="5">
        <v>0</v>
      </c>
      <c r="L189" s="5">
        <v>1424.85</v>
      </c>
      <c r="M189" s="6" t="s">
        <v>4</v>
      </c>
    </row>
    <row r="190" spans="1:13" ht="15.75" x14ac:dyDescent="0.25">
      <c r="A190" s="4" t="s">
        <v>541</v>
      </c>
      <c r="B190" s="7">
        <v>42075</v>
      </c>
      <c r="C190" s="7">
        <v>42197</v>
      </c>
      <c r="D190" s="5"/>
      <c r="E190" s="5" t="s">
        <v>542</v>
      </c>
      <c r="F190" s="5" t="s">
        <v>43</v>
      </c>
      <c r="G190" s="5" t="s">
        <v>14</v>
      </c>
      <c r="H190" s="5" t="s">
        <v>3</v>
      </c>
      <c r="I190" s="5">
        <v>2673.36</v>
      </c>
      <c r="J190" s="5">
        <v>8</v>
      </c>
      <c r="K190" s="5">
        <v>0</v>
      </c>
      <c r="L190" s="5">
        <v>1069.2</v>
      </c>
      <c r="M190" s="6" t="s">
        <v>8</v>
      </c>
    </row>
    <row r="191" spans="1:13" ht="15.75" x14ac:dyDescent="0.25">
      <c r="A191" s="4" t="s">
        <v>543</v>
      </c>
      <c r="B191" s="5" t="s">
        <v>544</v>
      </c>
      <c r="C191" s="5" t="s">
        <v>545</v>
      </c>
      <c r="D191" s="5"/>
      <c r="E191" s="5" t="s">
        <v>16</v>
      </c>
      <c r="F191" s="5" t="s">
        <v>17</v>
      </c>
      <c r="G191" s="5" t="s">
        <v>14</v>
      </c>
      <c r="H191" s="5" t="s">
        <v>31</v>
      </c>
      <c r="I191" s="5"/>
      <c r="J191" s="5">
        <v>5</v>
      </c>
      <c r="K191" s="5">
        <v>0.1</v>
      </c>
      <c r="L191" s="5">
        <v>3044.285797</v>
      </c>
      <c r="M191" s="6" t="s">
        <v>8</v>
      </c>
    </row>
    <row r="192" spans="1:13" ht="15.75" x14ac:dyDescent="0.25">
      <c r="A192" s="4" t="s">
        <v>546</v>
      </c>
      <c r="B192" s="5" t="s">
        <v>547</v>
      </c>
      <c r="C192" s="5" t="s">
        <v>548</v>
      </c>
      <c r="D192" s="5" t="s">
        <v>549</v>
      </c>
      <c r="E192" s="5" t="s">
        <v>0</v>
      </c>
      <c r="F192" s="5" t="s">
        <v>1</v>
      </c>
      <c r="G192" s="5" t="s">
        <v>14</v>
      </c>
      <c r="H192" s="5" t="s">
        <v>3</v>
      </c>
      <c r="I192" s="5">
        <v>5451.3</v>
      </c>
      <c r="J192" s="5">
        <v>6</v>
      </c>
      <c r="K192" s="5"/>
      <c r="L192" s="5">
        <v>2071.44</v>
      </c>
      <c r="M192" s="6" t="s">
        <v>4</v>
      </c>
    </row>
    <row r="193" spans="1:13" ht="15.75" x14ac:dyDescent="0.25">
      <c r="A193" s="4" t="s">
        <v>550</v>
      </c>
      <c r="B193" s="5" t="s">
        <v>551</v>
      </c>
      <c r="C193" s="5" t="s">
        <v>552</v>
      </c>
      <c r="D193" s="5" t="s">
        <v>553</v>
      </c>
      <c r="E193" s="5" t="s">
        <v>5</v>
      </c>
      <c r="F193" s="5" t="s">
        <v>6</v>
      </c>
      <c r="G193" s="5" t="s">
        <v>14</v>
      </c>
      <c r="H193" s="5" t="s">
        <v>18</v>
      </c>
      <c r="I193" s="5">
        <v>637.89599999999996</v>
      </c>
      <c r="J193" s="5">
        <v>3</v>
      </c>
      <c r="K193" s="5">
        <v>0.3</v>
      </c>
      <c r="L193" s="5">
        <v>-127.5792</v>
      </c>
      <c r="M193" s="6" t="s">
        <v>27</v>
      </c>
    </row>
    <row r="194" spans="1:13" ht="15.75" x14ac:dyDescent="0.25">
      <c r="A194" s="4" t="s">
        <v>554</v>
      </c>
      <c r="B194" s="7">
        <v>42345</v>
      </c>
      <c r="C194" s="5" t="s">
        <v>555</v>
      </c>
      <c r="D194" s="5" t="s">
        <v>62</v>
      </c>
      <c r="E194" s="5" t="s">
        <v>74</v>
      </c>
      <c r="F194" s="5" t="s">
        <v>43</v>
      </c>
      <c r="G194" s="5" t="s">
        <v>10</v>
      </c>
      <c r="H194" s="5" t="s">
        <v>3</v>
      </c>
      <c r="I194" s="5">
        <v>1722.2832000000001</v>
      </c>
      <c r="J194" s="5">
        <v>4</v>
      </c>
      <c r="K194" s="5">
        <v>0.17</v>
      </c>
      <c r="L194" s="5">
        <v>539.44320000000005</v>
      </c>
      <c r="M194" s="6" t="s">
        <v>27</v>
      </c>
    </row>
    <row r="195" spans="1:13" ht="15.75" x14ac:dyDescent="0.25">
      <c r="A195" s="4" t="s">
        <v>550</v>
      </c>
      <c r="B195" s="5" t="s">
        <v>556</v>
      </c>
      <c r="C195" s="5" t="s">
        <v>552</v>
      </c>
      <c r="D195" s="5" t="s">
        <v>557</v>
      </c>
      <c r="E195" s="5" t="s">
        <v>5</v>
      </c>
      <c r="F195" s="5" t="s">
        <v>6</v>
      </c>
      <c r="G195" s="5" t="s">
        <v>14</v>
      </c>
      <c r="H195" s="5" t="s">
        <v>7</v>
      </c>
      <c r="I195" s="5">
        <v>210.68</v>
      </c>
      <c r="J195" s="5">
        <v>2</v>
      </c>
      <c r="K195" s="5">
        <v>0</v>
      </c>
      <c r="L195" s="5">
        <v>50.563200000000002</v>
      </c>
      <c r="M195" s="6" t="s">
        <v>27</v>
      </c>
    </row>
    <row r="196" spans="1:13" ht="15.75" x14ac:dyDescent="0.25">
      <c r="A196" s="4" t="s">
        <v>558</v>
      </c>
      <c r="B196" s="7">
        <v>42013</v>
      </c>
      <c r="C196" s="7">
        <v>42013</v>
      </c>
      <c r="D196" s="5" t="s">
        <v>559</v>
      </c>
      <c r="E196" s="5" t="s">
        <v>20</v>
      </c>
      <c r="F196" s="5" t="s">
        <v>13</v>
      </c>
      <c r="G196" s="5" t="s">
        <v>10</v>
      </c>
      <c r="H196" s="5" t="s">
        <v>24</v>
      </c>
      <c r="I196" s="5">
        <v>1007.424</v>
      </c>
      <c r="J196" s="5">
        <v>2</v>
      </c>
      <c r="K196" s="5">
        <v>0.1</v>
      </c>
      <c r="L196" s="5">
        <v>134.304</v>
      </c>
      <c r="M196" s="6" t="s">
        <v>27</v>
      </c>
    </row>
    <row r="197" spans="1:13" ht="15.75" x14ac:dyDescent="0.25">
      <c r="A197" s="4" t="s">
        <v>550</v>
      </c>
      <c r="B197" s="5" t="s">
        <v>551</v>
      </c>
      <c r="C197" s="5" t="s">
        <v>552</v>
      </c>
      <c r="D197" s="5" t="s">
        <v>553</v>
      </c>
      <c r="E197" s="5" t="s">
        <v>5</v>
      </c>
      <c r="F197" s="5" t="s">
        <v>6</v>
      </c>
      <c r="G197" s="5" t="s">
        <v>14</v>
      </c>
      <c r="H197" s="5" t="s">
        <v>31</v>
      </c>
      <c r="I197" s="5">
        <v>240.744</v>
      </c>
      <c r="J197" s="5">
        <v>4</v>
      </c>
      <c r="K197" s="5">
        <v>0.3</v>
      </c>
      <c r="L197" s="5">
        <v>-13.7568</v>
      </c>
      <c r="M197" s="6" t="s">
        <v>27</v>
      </c>
    </row>
    <row r="198" spans="1:13" ht="15.75" x14ac:dyDescent="0.25">
      <c r="A198" s="4" t="s">
        <v>560</v>
      </c>
      <c r="B198" s="7">
        <v>41066</v>
      </c>
      <c r="C198" s="7">
        <v>41188</v>
      </c>
      <c r="D198" s="5" t="s">
        <v>139</v>
      </c>
      <c r="E198" s="5" t="s">
        <v>16</v>
      </c>
      <c r="F198" s="5" t="s">
        <v>17</v>
      </c>
      <c r="G198" s="5" t="s">
        <v>10</v>
      </c>
      <c r="H198" s="5" t="s">
        <v>24</v>
      </c>
      <c r="I198" s="5">
        <v>4624.29</v>
      </c>
      <c r="J198" s="5">
        <v>9</v>
      </c>
      <c r="K198" s="5">
        <v>0.1</v>
      </c>
      <c r="L198" s="5">
        <v>1644.03</v>
      </c>
      <c r="M198" s="6" t="s">
        <v>4</v>
      </c>
    </row>
    <row r="199" spans="1:13" ht="15.75" x14ac:dyDescent="0.25">
      <c r="A199" s="4" t="s">
        <v>561</v>
      </c>
      <c r="B199" s="7">
        <v>41253</v>
      </c>
      <c r="C199" s="7">
        <v>41253</v>
      </c>
      <c r="D199" s="5" t="s">
        <v>562</v>
      </c>
      <c r="E199" s="5" t="s">
        <v>563</v>
      </c>
      <c r="F199" s="5" t="s">
        <v>13</v>
      </c>
      <c r="G199" s="5" t="s">
        <v>10</v>
      </c>
      <c r="H199" s="5" t="s">
        <v>15</v>
      </c>
      <c r="I199" s="5">
        <v>1066.4459999999999</v>
      </c>
      <c r="J199" s="5">
        <v>6</v>
      </c>
      <c r="K199" s="5">
        <v>0.1</v>
      </c>
      <c r="L199" s="5">
        <v>-11.933999999999999</v>
      </c>
      <c r="M199" s="6" t="s">
        <v>27</v>
      </c>
    </row>
    <row r="200" spans="1:13" ht="15.75" x14ac:dyDescent="0.25">
      <c r="A200" s="4" t="s">
        <v>564</v>
      </c>
      <c r="B200" s="7">
        <v>41918</v>
      </c>
      <c r="C200" s="7">
        <v>41918</v>
      </c>
      <c r="D200" s="5" t="s">
        <v>565</v>
      </c>
      <c r="E200" s="5" t="s">
        <v>50</v>
      </c>
      <c r="F200" s="5" t="s">
        <v>51</v>
      </c>
      <c r="G200" s="5" t="s">
        <v>2</v>
      </c>
      <c r="H200" s="5" t="s">
        <v>24</v>
      </c>
      <c r="I200" s="5">
        <v>957.6</v>
      </c>
      <c r="J200" s="5">
        <v>4</v>
      </c>
      <c r="K200" s="5">
        <v>0</v>
      </c>
      <c r="L200" s="5">
        <v>0</v>
      </c>
      <c r="M200" s="6" t="s">
        <v>27</v>
      </c>
    </row>
    <row r="201" spans="1:13" ht="15.75" x14ac:dyDescent="0.25">
      <c r="A201" s="4"/>
      <c r="B201" s="5" t="s">
        <v>128</v>
      </c>
      <c r="C201" s="5" t="s">
        <v>566</v>
      </c>
      <c r="D201" s="5"/>
      <c r="E201" s="5" t="s">
        <v>16</v>
      </c>
      <c r="F201" s="5" t="s">
        <v>17</v>
      </c>
      <c r="G201" s="5" t="s">
        <v>10</v>
      </c>
      <c r="H201" s="5" t="s">
        <v>15</v>
      </c>
      <c r="I201" s="5">
        <v>4864.32</v>
      </c>
      <c r="J201" s="5">
        <v>10</v>
      </c>
      <c r="K201" s="5">
        <v>0.1</v>
      </c>
      <c r="L201" s="5"/>
      <c r="M201" s="6" t="s">
        <v>4</v>
      </c>
    </row>
    <row r="202" spans="1:13" ht="15.75" x14ac:dyDescent="0.25">
      <c r="A202" s="4" t="s">
        <v>567</v>
      </c>
      <c r="B202" s="5" t="s">
        <v>130</v>
      </c>
      <c r="C202" s="5" t="s">
        <v>110</v>
      </c>
      <c r="D202" s="8" t="s">
        <v>553</v>
      </c>
      <c r="E202" s="5"/>
      <c r="F202" s="5" t="s">
        <v>6</v>
      </c>
      <c r="G202" s="5" t="s">
        <v>10</v>
      </c>
      <c r="H202" s="5" t="s">
        <v>11</v>
      </c>
      <c r="I202" s="5">
        <v>841.56799999999998</v>
      </c>
      <c r="J202" s="5">
        <v>2</v>
      </c>
      <c r="K202" s="5">
        <v>0.2</v>
      </c>
      <c r="L202" s="5">
        <v>294.54880000000003</v>
      </c>
      <c r="M202" s="6" t="s">
        <v>4</v>
      </c>
    </row>
    <row r="203" spans="1:13" ht="15.75" x14ac:dyDescent="0.25">
      <c r="A203" s="4" t="s">
        <v>568</v>
      </c>
      <c r="B203" s="7">
        <v>42283</v>
      </c>
      <c r="C203" s="7">
        <v>42314</v>
      </c>
      <c r="D203" s="8" t="s">
        <v>569</v>
      </c>
      <c r="E203" s="5"/>
      <c r="F203" s="5" t="s">
        <v>43</v>
      </c>
      <c r="G203" s="5" t="s">
        <v>10</v>
      </c>
      <c r="H203" s="5" t="s">
        <v>24</v>
      </c>
      <c r="I203" s="5">
        <v>1433.8395</v>
      </c>
      <c r="J203" s="5">
        <v>3</v>
      </c>
      <c r="K203" s="5">
        <v>0.15</v>
      </c>
      <c r="L203" s="5">
        <v>-84.370500000000007</v>
      </c>
      <c r="M203" s="6" t="s">
        <v>8</v>
      </c>
    </row>
    <row r="204" spans="1:13" ht="15.75" x14ac:dyDescent="0.25">
      <c r="A204" s="4" t="s">
        <v>570</v>
      </c>
      <c r="B204" s="5" t="s">
        <v>44</v>
      </c>
      <c r="C204" s="5" t="s">
        <v>424</v>
      </c>
      <c r="D204" s="5" t="s">
        <v>571</v>
      </c>
      <c r="E204" s="5" t="s">
        <v>78</v>
      </c>
      <c r="F204" s="5" t="s">
        <v>79</v>
      </c>
      <c r="G204" s="5" t="s">
        <v>10</v>
      </c>
      <c r="H204" s="5" t="s">
        <v>21</v>
      </c>
      <c r="I204" s="5">
        <v>2784.6</v>
      </c>
      <c r="J204" s="5">
        <v>14</v>
      </c>
      <c r="K204" s="5">
        <v>0</v>
      </c>
      <c r="L204" s="5"/>
      <c r="M204" s="6" t="s">
        <v>27</v>
      </c>
    </row>
    <row r="205" spans="1:13" ht="15.75" x14ac:dyDescent="0.25">
      <c r="A205" s="4" t="s">
        <v>572</v>
      </c>
      <c r="B205" s="5" t="s">
        <v>105</v>
      </c>
      <c r="C205" s="7">
        <v>41741</v>
      </c>
      <c r="D205" s="8" t="s">
        <v>573</v>
      </c>
      <c r="E205" s="5"/>
      <c r="F205" s="5" t="s">
        <v>67</v>
      </c>
      <c r="G205" s="5" t="s">
        <v>14</v>
      </c>
      <c r="H205" s="5" t="s">
        <v>24</v>
      </c>
      <c r="I205" s="5">
        <v>3063.27</v>
      </c>
      <c r="J205" s="5">
        <v>7</v>
      </c>
      <c r="K205" s="5">
        <v>0</v>
      </c>
      <c r="L205" s="5">
        <v>1470.21</v>
      </c>
      <c r="M205" s="6" t="s">
        <v>25</v>
      </c>
    </row>
    <row r="206" spans="1:13" ht="15.75" x14ac:dyDescent="0.25">
      <c r="A206" s="4" t="s">
        <v>574</v>
      </c>
      <c r="B206" s="5" t="s">
        <v>575</v>
      </c>
      <c r="C206" s="5" t="s">
        <v>575</v>
      </c>
      <c r="D206" s="5" t="s">
        <v>553</v>
      </c>
      <c r="E206" s="5" t="s">
        <v>5</v>
      </c>
      <c r="F206" s="5" t="s">
        <v>39</v>
      </c>
      <c r="G206" s="5" t="s">
        <v>10</v>
      </c>
      <c r="H206" s="5" t="s">
        <v>15</v>
      </c>
      <c r="I206" s="5" t="s">
        <v>55</v>
      </c>
      <c r="J206" s="5">
        <v>2</v>
      </c>
      <c r="K206" s="5">
        <v>0</v>
      </c>
      <c r="L206" s="5">
        <v>11.586</v>
      </c>
      <c r="M206" s="6" t="s">
        <v>27</v>
      </c>
    </row>
    <row r="207" spans="1:13" ht="15.75" x14ac:dyDescent="0.25">
      <c r="A207" s="4" t="s">
        <v>576</v>
      </c>
      <c r="B207" s="5" t="s">
        <v>577</v>
      </c>
      <c r="C207" s="5" t="s">
        <v>578</v>
      </c>
      <c r="D207" s="8" t="s">
        <v>553</v>
      </c>
      <c r="E207" s="5"/>
      <c r="F207" s="5" t="s">
        <v>39</v>
      </c>
      <c r="G207" s="5" t="s">
        <v>14</v>
      </c>
      <c r="H207" s="5" t="s">
        <v>21</v>
      </c>
      <c r="I207" s="5">
        <v>196.45</v>
      </c>
      <c r="J207" s="5">
        <v>5</v>
      </c>
      <c r="K207" s="5">
        <v>0</v>
      </c>
      <c r="L207" s="5">
        <v>70.721999999999994</v>
      </c>
      <c r="M207" s="6" t="s">
        <v>4</v>
      </c>
    </row>
    <row r="208" spans="1:13" ht="15.75" x14ac:dyDescent="0.25">
      <c r="A208" s="4" t="s">
        <v>579</v>
      </c>
      <c r="B208" s="7">
        <v>41129</v>
      </c>
      <c r="C208" s="7">
        <v>41129</v>
      </c>
      <c r="D208" s="5" t="s">
        <v>580</v>
      </c>
      <c r="E208" s="5" t="s">
        <v>146</v>
      </c>
      <c r="F208" s="5" t="s">
        <v>29</v>
      </c>
      <c r="G208" s="5" t="s">
        <v>2</v>
      </c>
      <c r="H208" s="5" t="s">
        <v>48</v>
      </c>
      <c r="I208" s="5">
        <v>2044.8</v>
      </c>
      <c r="J208" s="5">
        <v>6</v>
      </c>
      <c r="K208" s="5">
        <v>0.2</v>
      </c>
      <c r="L208" s="5">
        <v>-332.28</v>
      </c>
      <c r="M208" s="6" t="s">
        <v>8</v>
      </c>
    </row>
    <row r="209" spans="1:13" ht="15.75" x14ac:dyDescent="0.25">
      <c r="A209" s="4" t="s">
        <v>581</v>
      </c>
      <c r="B209" s="5" t="s">
        <v>287</v>
      </c>
      <c r="C209" s="5" t="s">
        <v>582</v>
      </c>
      <c r="D209" s="8" t="s">
        <v>553</v>
      </c>
      <c r="E209" s="5"/>
      <c r="F209" s="5"/>
      <c r="G209" s="5" t="s">
        <v>2</v>
      </c>
      <c r="H209" s="5" t="s">
        <v>15</v>
      </c>
      <c r="I209" s="5">
        <v>165.6</v>
      </c>
      <c r="J209" s="5">
        <v>3</v>
      </c>
      <c r="K209" s="5">
        <v>0.2</v>
      </c>
      <c r="L209" s="5">
        <v>-6.21</v>
      </c>
      <c r="M209" s="6" t="s">
        <v>4</v>
      </c>
    </row>
    <row r="210" spans="1:13" ht="15.75" x14ac:dyDescent="0.25">
      <c r="A210" s="4" t="s">
        <v>583</v>
      </c>
      <c r="B210" s="7">
        <v>41313</v>
      </c>
      <c r="C210" s="10">
        <v>74243</v>
      </c>
      <c r="D210" s="5" t="s">
        <v>584</v>
      </c>
      <c r="E210" s="5" t="s">
        <v>50</v>
      </c>
      <c r="F210" s="5" t="s">
        <v>51</v>
      </c>
      <c r="G210" s="5" t="s">
        <v>2</v>
      </c>
      <c r="H210" s="5" t="s">
        <v>31</v>
      </c>
      <c r="I210" s="5">
        <v>1521</v>
      </c>
      <c r="J210" s="5">
        <v>4</v>
      </c>
      <c r="K210" s="5">
        <v>0</v>
      </c>
      <c r="L210" s="5">
        <v>0</v>
      </c>
      <c r="M210" s="6" t="s">
        <v>8</v>
      </c>
    </row>
    <row r="211" spans="1:13" ht="15.75" x14ac:dyDescent="0.25">
      <c r="A211" s="4" t="s">
        <v>585</v>
      </c>
      <c r="B211" s="5" t="s">
        <v>388</v>
      </c>
      <c r="C211" s="5" t="s">
        <v>388</v>
      </c>
      <c r="D211" s="5" t="s">
        <v>389</v>
      </c>
      <c r="E211" s="5" t="s">
        <v>12</v>
      </c>
      <c r="F211" s="5" t="s">
        <v>13</v>
      </c>
      <c r="G211" s="5" t="s">
        <v>10</v>
      </c>
      <c r="H211" s="5" t="s">
        <v>31</v>
      </c>
      <c r="I211" s="5">
        <v>2443.9050000000002</v>
      </c>
      <c r="J211" s="5">
        <v>5</v>
      </c>
      <c r="K211" s="5">
        <v>0.1</v>
      </c>
      <c r="L211" s="5">
        <v>760.30499999999995</v>
      </c>
      <c r="M211" s="6" t="s">
        <v>8</v>
      </c>
    </row>
    <row r="212" spans="1:13" ht="15.75" x14ac:dyDescent="0.25">
      <c r="A212" s="4" t="s">
        <v>586</v>
      </c>
      <c r="B212" s="7">
        <v>42189</v>
      </c>
      <c r="C212" s="7">
        <v>42342</v>
      </c>
      <c r="D212" s="5" t="s">
        <v>553</v>
      </c>
      <c r="E212" s="5" t="s">
        <v>107</v>
      </c>
      <c r="F212" s="5" t="s">
        <v>587</v>
      </c>
      <c r="G212" s="5" t="s">
        <v>10</v>
      </c>
      <c r="H212" s="5" t="s">
        <v>11</v>
      </c>
      <c r="I212" s="5">
        <v>137.31</v>
      </c>
      <c r="J212" s="5">
        <v>1</v>
      </c>
      <c r="K212" s="5">
        <v>0</v>
      </c>
      <c r="L212" s="5">
        <v>54.9</v>
      </c>
      <c r="M212" s="6" t="s">
        <v>8</v>
      </c>
    </row>
    <row r="213" spans="1:13" ht="15.75" x14ac:dyDescent="0.25">
      <c r="A213" s="4" t="s">
        <v>588</v>
      </c>
      <c r="B213" s="7">
        <v>41678</v>
      </c>
      <c r="C213" s="7">
        <v>41678</v>
      </c>
      <c r="D213" s="5" t="s">
        <v>148</v>
      </c>
      <c r="E213" s="5" t="s">
        <v>115</v>
      </c>
      <c r="F213" s="5" t="s">
        <v>34</v>
      </c>
      <c r="G213" s="5" t="s">
        <v>2</v>
      </c>
      <c r="H213" s="5" t="s">
        <v>24</v>
      </c>
      <c r="I213" s="5"/>
      <c r="J213" s="5">
        <v>10</v>
      </c>
      <c r="K213" s="5">
        <v>0</v>
      </c>
      <c r="L213" s="5">
        <v>570.9</v>
      </c>
      <c r="M213" s="6" t="s">
        <v>27</v>
      </c>
    </row>
    <row r="214" spans="1:13" ht="15.75" x14ac:dyDescent="0.25">
      <c r="A214" s="4"/>
      <c r="B214" s="5" t="s">
        <v>141</v>
      </c>
      <c r="C214" s="5" t="s">
        <v>589</v>
      </c>
      <c r="D214" s="5" t="s">
        <v>590</v>
      </c>
      <c r="E214" s="5" t="s">
        <v>38</v>
      </c>
      <c r="F214" s="5" t="s">
        <v>34</v>
      </c>
      <c r="G214" s="5" t="s">
        <v>10</v>
      </c>
      <c r="H214" s="5" t="s">
        <v>18</v>
      </c>
      <c r="I214" s="5"/>
      <c r="J214" s="5">
        <v>9</v>
      </c>
      <c r="K214" s="5">
        <v>0</v>
      </c>
      <c r="L214" s="5">
        <v>802.17</v>
      </c>
      <c r="M214" s="6" t="s">
        <v>27</v>
      </c>
    </row>
    <row r="215" spans="1:13" ht="15.75" x14ac:dyDescent="0.25">
      <c r="A215" s="4" t="s">
        <v>591</v>
      </c>
      <c r="B215" s="7">
        <v>41184</v>
      </c>
      <c r="C215" s="5" t="s">
        <v>44</v>
      </c>
      <c r="D215" s="5"/>
      <c r="E215" s="5"/>
      <c r="F215" s="5" t="s">
        <v>51</v>
      </c>
      <c r="G215" s="5" t="s">
        <v>2</v>
      </c>
      <c r="H215" s="5" t="s">
        <v>48</v>
      </c>
      <c r="I215" s="5">
        <v>6998.64</v>
      </c>
      <c r="J215" s="5">
        <v>11</v>
      </c>
      <c r="K215" s="5">
        <v>0</v>
      </c>
      <c r="L215" s="5">
        <v>2939.31</v>
      </c>
      <c r="M215" s="6" t="s">
        <v>4</v>
      </c>
    </row>
    <row r="216" spans="1:13" ht="15.75" x14ac:dyDescent="0.25">
      <c r="A216" s="4" t="s">
        <v>592</v>
      </c>
      <c r="B216" s="5" t="s">
        <v>89</v>
      </c>
      <c r="C216" s="5" t="s">
        <v>89</v>
      </c>
      <c r="D216" s="5" t="s">
        <v>593</v>
      </c>
      <c r="E216" s="5" t="s">
        <v>66</v>
      </c>
      <c r="F216" s="5" t="s">
        <v>67</v>
      </c>
      <c r="G216" s="5" t="s">
        <v>14</v>
      </c>
      <c r="H216" s="5" t="s">
        <v>15</v>
      </c>
      <c r="I216" s="5">
        <v>1091.25</v>
      </c>
      <c r="J216" s="5">
        <v>3</v>
      </c>
      <c r="K216" s="5">
        <v>0</v>
      </c>
      <c r="L216" s="5">
        <v>119.97</v>
      </c>
      <c r="M216" s="6" t="s">
        <v>27</v>
      </c>
    </row>
    <row r="217" spans="1:13" ht="15.75" x14ac:dyDescent="0.25">
      <c r="A217" s="4" t="s">
        <v>594</v>
      </c>
      <c r="B217" s="7">
        <v>42041</v>
      </c>
      <c r="C217" s="7">
        <v>42100</v>
      </c>
      <c r="D217" s="8" t="s">
        <v>102</v>
      </c>
      <c r="E217" s="5"/>
      <c r="F217" s="5" t="s">
        <v>34</v>
      </c>
      <c r="G217" s="5" t="s">
        <v>14</v>
      </c>
      <c r="H217" s="5" t="s">
        <v>31</v>
      </c>
      <c r="I217" s="5">
        <v>1094.22</v>
      </c>
      <c r="J217" s="5"/>
      <c r="K217" s="5">
        <v>0</v>
      </c>
      <c r="L217" s="5">
        <v>328.23</v>
      </c>
      <c r="M217" s="6" t="s">
        <v>27</v>
      </c>
    </row>
    <row r="218" spans="1:13" ht="15.75" x14ac:dyDescent="0.25">
      <c r="A218" s="4"/>
      <c r="B218" s="5" t="s">
        <v>595</v>
      </c>
      <c r="C218" s="7">
        <v>41708</v>
      </c>
      <c r="D218" s="5" t="s">
        <v>596</v>
      </c>
      <c r="E218" s="5" t="s">
        <v>16</v>
      </c>
      <c r="F218" s="5" t="s">
        <v>17</v>
      </c>
      <c r="G218" s="5" t="s">
        <v>14</v>
      </c>
      <c r="H218" s="5" t="s">
        <v>21</v>
      </c>
      <c r="I218" s="5">
        <v>1320.624</v>
      </c>
      <c r="J218" s="5">
        <v>4</v>
      </c>
      <c r="K218" s="5">
        <v>0.1</v>
      </c>
      <c r="L218" s="5">
        <v>484.22399999999999</v>
      </c>
      <c r="M218" s="6" t="s">
        <v>27</v>
      </c>
    </row>
    <row r="219" spans="1:13" ht="15.75" x14ac:dyDescent="0.25">
      <c r="A219" s="4" t="s">
        <v>597</v>
      </c>
      <c r="B219" s="5" t="s">
        <v>598</v>
      </c>
      <c r="C219" s="5" t="s">
        <v>599</v>
      </c>
      <c r="D219" s="5" t="s">
        <v>600</v>
      </c>
      <c r="E219" s="5" t="s">
        <v>438</v>
      </c>
      <c r="F219" s="5" t="s">
        <v>43</v>
      </c>
      <c r="G219" s="5" t="s">
        <v>2</v>
      </c>
      <c r="H219" s="5" t="s">
        <v>21</v>
      </c>
      <c r="I219" s="5">
        <v>2555.64</v>
      </c>
      <c r="J219" s="5">
        <v>4</v>
      </c>
      <c r="K219" s="5">
        <v>0</v>
      </c>
      <c r="L219" s="5">
        <v>664.44</v>
      </c>
      <c r="M219" s="6" t="s">
        <v>8</v>
      </c>
    </row>
    <row r="220" spans="1:13" ht="15.75" x14ac:dyDescent="0.25">
      <c r="A220" s="4" t="s">
        <v>601</v>
      </c>
      <c r="B220" s="5" t="s">
        <v>602</v>
      </c>
      <c r="C220" s="5" t="s">
        <v>305</v>
      </c>
      <c r="D220" s="5"/>
      <c r="E220" s="5" t="s">
        <v>56</v>
      </c>
      <c r="F220" s="5" t="s">
        <v>32</v>
      </c>
      <c r="G220" s="5" t="s">
        <v>14</v>
      </c>
      <c r="H220" s="5" t="s">
        <v>21</v>
      </c>
      <c r="I220" s="5" t="s">
        <v>55</v>
      </c>
      <c r="J220" s="5">
        <v>8</v>
      </c>
      <c r="K220" s="5">
        <v>0</v>
      </c>
      <c r="L220" s="5">
        <v>594.72</v>
      </c>
      <c r="M220" s="6" t="s">
        <v>4</v>
      </c>
    </row>
    <row r="221" spans="1:13" ht="15.75" x14ac:dyDescent="0.25">
      <c r="A221" s="4" t="s">
        <v>550</v>
      </c>
      <c r="B221" s="5" t="s">
        <v>551</v>
      </c>
      <c r="C221" s="5" t="s">
        <v>552</v>
      </c>
      <c r="D221" s="5" t="s">
        <v>553</v>
      </c>
      <c r="E221" s="5" t="s">
        <v>5</v>
      </c>
      <c r="F221" s="5" t="s">
        <v>6</v>
      </c>
      <c r="G221" s="5" t="s">
        <v>14</v>
      </c>
      <c r="H221" s="5" t="s">
        <v>31</v>
      </c>
      <c r="I221" s="5">
        <v>35</v>
      </c>
      <c r="J221" s="5">
        <v>4</v>
      </c>
      <c r="K221" s="5"/>
      <c r="L221" s="5">
        <v>14.7</v>
      </c>
      <c r="M221" s="6" t="s">
        <v>27</v>
      </c>
    </row>
    <row r="222" spans="1:13" ht="15.75" x14ac:dyDescent="0.25">
      <c r="A222" s="4" t="s">
        <v>603</v>
      </c>
      <c r="B222" s="5" t="s">
        <v>106</v>
      </c>
      <c r="C222" s="7">
        <v>42074</v>
      </c>
      <c r="D222" s="5" t="s">
        <v>316</v>
      </c>
      <c r="E222" s="5" t="s">
        <v>50</v>
      </c>
      <c r="F222" s="5" t="s">
        <v>51</v>
      </c>
      <c r="G222" s="5" t="s">
        <v>2</v>
      </c>
      <c r="H222" s="5" t="s">
        <v>21</v>
      </c>
      <c r="I222" s="5">
        <v>2272.86</v>
      </c>
      <c r="J222" s="5">
        <v>6</v>
      </c>
      <c r="K222" s="5">
        <v>0</v>
      </c>
      <c r="L222" s="5">
        <v>977.22</v>
      </c>
      <c r="M222" s="6" t="s">
        <v>8</v>
      </c>
    </row>
    <row r="223" spans="1:13" ht="15.75" x14ac:dyDescent="0.25">
      <c r="A223" s="11" t="s">
        <v>604</v>
      </c>
      <c r="B223" s="12" t="s">
        <v>605</v>
      </c>
      <c r="C223" s="12" t="s">
        <v>606</v>
      </c>
      <c r="D223" s="12" t="s">
        <v>607</v>
      </c>
      <c r="E223" s="12"/>
      <c r="F223" s="12" t="s">
        <v>51</v>
      </c>
      <c r="G223" s="12" t="s">
        <v>2</v>
      </c>
      <c r="H223" s="12" t="s">
        <v>11</v>
      </c>
      <c r="I223" s="12"/>
      <c r="J223" s="12">
        <v>8</v>
      </c>
      <c r="K223" s="12">
        <v>0</v>
      </c>
      <c r="L223" s="12">
        <v>833.76</v>
      </c>
      <c r="M223" s="13" t="s">
        <v>4</v>
      </c>
    </row>
    <row r="224" spans="1:13" ht="15.75" x14ac:dyDescent="0.25">
      <c r="A224" s="14"/>
      <c r="B224" s="15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ht="15.7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ht="15.75" x14ac:dyDescent="0.25">
      <c r="A226" s="14"/>
      <c r="B226" s="15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ht="15.75" x14ac:dyDescent="0.25">
      <c r="A227" s="14"/>
      <c r="B227" s="15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ht="15.75" x14ac:dyDescent="0.25">
      <c r="A228" s="14"/>
      <c r="B228" s="15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30" spans="1:13" ht="15.75" thickBot="1" x14ac:dyDescent="0.3"/>
    <row r="231" spans="1:13" ht="16.5" thickTop="1" thickBot="1" x14ac:dyDescent="0.3">
      <c r="B231" s="64" t="s">
        <v>628</v>
      </c>
      <c r="C231" s="64"/>
      <c r="D231" s="64"/>
      <c r="E231" s="64">
        <v>223</v>
      </c>
      <c r="F231" s="64"/>
      <c r="J231" s="16" t="s">
        <v>616</v>
      </c>
      <c r="K231" s="16" t="s">
        <v>608</v>
      </c>
    </row>
    <row r="232" spans="1:13" ht="16.5" thickTop="1" thickBot="1" x14ac:dyDescent="0.3">
      <c r="B232" s="64"/>
      <c r="C232" s="64"/>
      <c r="D232" s="64"/>
      <c r="E232" s="64"/>
      <c r="F232" s="64"/>
      <c r="J232" t="s">
        <v>617</v>
      </c>
      <c r="K232">
        <v>78</v>
      </c>
    </row>
    <row r="233" spans="1:13" ht="16.5" thickTop="1" thickBot="1" x14ac:dyDescent="0.3">
      <c r="B233" s="64" t="s">
        <v>629</v>
      </c>
      <c r="C233" s="64"/>
      <c r="D233" s="64"/>
      <c r="E233" s="64" t="s">
        <v>609</v>
      </c>
      <c r="F233" s="64"/>
      <c r="J233" t="s">
        <v>618</v>
      </c>
      <c r="K233">
        <v>64</v>
      </c>
    </row>
    <row r="234" spans="1:13" ht="16.5" thickTop="1" thickBot="1" x14ac:dyDescent="0.3">
      <c r="B234" s="64"/>
      <c r="C234" s="64"/>
      <c r="D234" s="64"/>
      <c r="E234" s="64"/>
      <c r="F234" s="64"/>
      <c r="J234" t="s">
        <v>619</v>
      </c>
      <c r="K234">
        <v>57</v>
      </c>
    </row>
    <row r="235" spans="1:13" ht="15.75" thickTop="1" x14ac:dyDescent="0.25">
      <c r="B235" s="65" t="s">
        <v>611</v>
      </c>
      <c r="C235" s="66"/>
      <c r="D235" s="67"/>
      <c r="E235" s="71" t="s">
        <v>610</v>
      </c>
      <c r="F235" s="67"/>
    </row>
    <row r="236" spans="1:13" ht="15.75" thickBot="1" x14ac:dyDescent="0.3">
      <c r="B236" s="68"/>
      <c r="C236" s="69"/>
      <c r="D236" s="70"/>
      <c r="E236" s="68"/>
      <c r="F236" s="70"/>
    </row>
    <row r="237" spans="1:13" ht="16.5" thickTop="1" thickBot="1" x14ac:dyDescent="0.3">
      <c r="B237" s="64" t="s">
        <v>612</v>
      </c>
      <c r="C237" s="64"/>
      <c r="D237" s="64"/>
      <c r="E237" s="64">
        <f>SUM(J2:J223)</f>
        <v>1268</v>
      </c>
      <c r="F237" s="64"/>
    </row>
    <row r="238" spans="1:13" ht="16.5" thickTop="1" thickBot="1" x14ac:dyDescent="0.3">
      <c r="B238" s="64"/>
      <c r="C238" s="64"/>
      <c r="D238" s="64"/>
      <c r="E238" s="64"/>
      <c r="F238" s="64"/>
    </row>
    <row r="239" spans="1:13" ht="15.75" thickTop="1" x14ac:dyDescent="0.25">
      <c r="B239" s="65" t="s">
        <v>620</v>
      </c>
      <c r="C239" s="66"/>
      <c r="D239" s="67"/>
      <c r="E239" s="65" t="s">
        <v>623</v>
      </c>
      <c r="F239" s="67"/>
    </row>
    <row r="240" spans="1:13" ht="15.75" thickBot="1" x14ac:dyDescent="0.3">
      <c r="B240" s="68"/>
      <c r="C240" s="69"/>
      <c r="D240" s="70"/>
      <c r="E240" s="68"/>
      <c r="F240" s="70"/>
    </row>
    <row r="241" spans="2:15" ht="15.75" thickTop="1" x14ac:dyDescent="0.25">
      <c r="B241" s="65" t="s">
        <v>621</v>
      </c>
      <c r="C241" s="66"/>
      <c r="D241" s="67"/>
      <c r="E241" s="65" t="s">
        <v>624</v>
      </c>
      <c r="F241" s="67"/>
    </row>
    <row r="242" spans="2:15" ht="15.75" thickBot="1" x14ac:dyDescent="0.3">
      <c r="B242" s="68"/>
      <c r="C242" s="69"/>
      <c r="D242" s="70"/>
      <c r="E242" s="68"/>
      <c r="F242" s="70"/>
    </row>
    <row r="243" spans="2:15" ht="16.5" thickTop="1" thickBot="1" x14ac:dyDescent="0.3">
      <c r="B243" s="64" t="s">
        <v>625</v>
      </c>
      <c r="C243" s="64"/>
      <c r="D243" s="64"/>
      <c r="E243" s="64">
        <f>MIN(L2:L223)</f>
        <v>-2211.165</v>
      </c>
      <c r="F243" s="64"/>
      <c r="G243" s="73" t="s">
        <v>627</v>
      </c>
    </row>
    <row r="244" spans="2:15" ht="16.5" thickTop="1" thickBot="1" x14ac:dyDescent="0.3">
      <c r="B244" s="64"/>
      <c r="C244" s="64"/>
      <c r="D244" s="64"/>
      <c r="E244" s="64"/>
      <c r="F244" s="64"/>
      <c r="G244" s="73"/>
    </row>
    <row r="245" spans="2:15" ht="16.5" thickTop="1" thickBot="1" x14ac:dyDescent="0.3">
      <c r="B245" s="64" t="s">
        <v>626</v>
      </c>
      <c r="C245" s="64"/>
      <c r="D245" s="64"/>
      <c r="E245" s="64">
        <f>MAX(L2:L223)</f>
        <v>3979.08</v>
      </c>
      <c r="F245" s="64"/>
    </row>
    <row r="246" spans="2:15" ht="16.5" thickTop="1" thickBot="1" x14ac:dyDescent="0.3">
      <c r="B246" s="64"/>
      <c r="C246" s="64"/>
      <c r="D246" s="64"/>
      <c r="E246" s="64"/>
      <c r="F246" s="64"/>
    </row>
    <row r="247" spans="2:15" ht="15.75" thickTop="1" x14ac:dyDescent="0.25"/>
    <row r="248" spans="2:15" ht="18.75" x14ac:dyDescent="0.3">
      <c r="B248" s="74" t="s">
        <v>630</v>
      </c>
      <c r="C248" s="74"/>
      <c r="D248" s="74"/>
      <c r="E248" s="74"/>
      <c r="F248" s="74"/>
    </row>
    <row r="250" spans="2:15" x14ac:dyDescent="0.25">
      <c r="J250" s="72" t="s">
        <v>631</v>
      </c>
      <c r="K250" s="72"/>
      <c r="L250" s="72"/>
      <c r="M250" s="72"/>
      <c r="N250" s="72"/>
      <c r="O250" s="72"/>
    </row>
  </sheetData>
  <mergeCells count="19">
    <mergeCell ref="B239:D240"/>
    <mergeCell ref="B241:D242"/>
    <mergeCell ref="E239:F240"/>
    <mergeCell ref="E241:F242"/>
    <mergeCell ref="J250:O250"/>
    <mergeCell ref="B243:D244"/>
    <mergeCell ref="B245:D246"/>
    <mergeCell ref="E243:F244"/>
    <mergeCell ref="E245:F246"/>
    <mergeCell ref="G243:G244"/>
    <mergeCell ref="B248:F248"/>
    <mergeCell ref="B231:D232"/>
    <mergeCell ref="B233:D234"/>
    <mergeCell ref="B237:D238"/>
    <mergeCell ref="E231:F232"/>
    <mergeCell ref="E233:F234"/>
    <mergeCell ref="E237:F238"/>
    <mergeCell ref="B235:D236"/>
    <mergeCell ref="E235:F236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00E-F27E-4776-9CF0-F303459B80C0}">
  <dimension ref="A1:M34"/>
  <sheetViews>
    <sheetView topLeftCell="A29" zoomScaleNormal="100" workbookViewId="0">
      <selection activeCell="I33" sqref="I33"/>
    </sheetView>
  </sheetViews>
  <sheetFormatPr defaultRowHeight="15" x14ac:dyDescent="0.25"/>
  <cols>
    <col min="1" max="1" width="15" customWidth="1"/>
    <col min="2" max="3" width="19.140625" bestFit="1" customWidth="1"/>
    <col min="4" max="4" width="22.85546875" customWidth="1"/>
    <col min="5" max="5" width="14" customWidth="1"/>
    <col min="6" max="6" width="12.5703125" customWidth="1"/>
    <col min="7" max="7" width="15.42578125" customWidth="1"/>
    <col min="8" max="8" width="20.7109375" customWidth="1"/>
    <col min="9" max="9" width="11" customWidth="1"/>
    <col min="10" max="10" width="14.7109375" customWidth="1"/>
    <col min="11" max="11" width="18.28515625" bestFit="1" customWidth="1"/>
    <col min="12" max="12" width="12.140625" customWidth="1"/>
    <col min="13" max="13" width="22.85546875" style="16" customWidth="1"/>
    <col min="14" max="16" width="12" customWidth="1"/>
  </cols>
  <sheetData>
    <row r="1" spans="1:13" x14ac:dyDescent="0.25">
      <c r="A1" s="50" t="s">
        <v>153</v>
      </c>
      <c r="B1" s="51" t="s">
        <v>154</v>
      </c>
      <c r="C1" s="51" t="s">
        <v>155</v>
      </c>
      <c r="D1" s="51" t="s">
        <v>156</v>
      </c>
      <c r="E1" s="51" t="s">
        <v>157</v>
      </c>
      <c r="F1" s="51" t="s">
        <v>158</v>
      </c>
      <c r="G1" s="51" t="s">
        <v>159</v>
      </c>
      <c r="H1" s="51" t="s">
        <v>160</v>
      </c>
      <c r="I1" s="51" t="s">
        <v>161</v>
      </c>
      <c r="J1" s="51" t="s">
        <v>162</v>
      </c>
      <c r="K1" s="51" t="s">
        <v>163</v>
      </c>
      <c r="L1" s="51" t="s">
        <v>164</v>
      </c>
      <c r="M1" s="44" t="s">
        <v>165</v>
      </c>
    </row>
    <row r="2" spans="1:13" ht="47.25" x14ac:dyDescent="0.25">
      <c r="A2" s="4" t="s">
        <v>166</v>
      </c>
      <c r="B2" s="5" t="s">
        <v>167</v>
      </c>
      <c r="C2" s="5" t="s">
        <v>168</v>
      </c>
      <c r="D2" s="5" t="s">
        <v>169</v>
      </c>
      <c r="E2" s="5" t="s">
        <v>16</v>
      </c>
      <c r="F2" s="5" t="s">
        <v>17</v>
      </c>
      <c r="G2" s="5" t="s">
        <v>2</v>
      </c>
      <c r="H2" s="5" t="s">
        <v>22</v>
      </c>
      <c r="I2" s="5">
        <v>5175.1710000000003</v>
      </c>
      <c r="J2" s="5">
        <v>9</v>
      </c>
      <c r="K2" s="5">
        <v>0.1</v>
      </c>
      <c r="L2" s="5">
        <v>919.971</v>
      </c>
      <c r="M2" s="45" t="s">
        <v>4</v>
      </c>
    </row>
    <row r="3" spans="1:13" ht="47.25" x14ac:dyDescent="0.25">
      <c r="A3" s="4" t="s">
        <v>170</v>
      </c>
      <c r="B3" s="5" t="s">
        <v>171</v>
      </c>
      <c r="C3" s="5" t="s">
        <v>172</v>
      </c>
      <c r="D3" s="5" t="s">
        <v>173</v>
      </c>
      <c r="E3" s="5" t="s">
        <v>20</v>
      </c>
      <c r="F3" s="5"/>
      <c r="G3" s="5" t="s">
        <v>2</v>
      </c>
      <c r="H3" s="5" t="s">
        <v>18</v>
      </c>
      <c r="I3" s="5">
        <v>2892.51</v>
      </c>
      <c r="J3" s="5">
        <v>5</v>
      </c>
      <c r="K3" s="5">
        <v>0.1</v>
      </c>
      <c r="L3" s="5">
        <v>-96.54</v>
      </c>
      <c r="M3" s="45"/>
    </row>
    <row r="4" spans="1:13" ht="31.5" x14ac:dyDescent="0.25">
      <c r="A4" s="4"/>
      <c r="B4" s="7">
        <v>41770</v>
      </c>
      <c r="C4" s="7">
        <v>41801</v>
      </c>
      <c r="D4" s="8" t="s">
        <v>174</v>
      </c>
      <c r="E4" s="5"/>
      <c r="F4" s="5" t="s">
        <v>149</v>
      </c>
      <c r="G4" s="5" t="s">
        <v>2</v>
      </c>
      <c r="H4" s="5" t="s">
        <v>31</v>
      </c>
      <c r="I4" s="5">
        <v>2832.96</v>
      </c>
      <c r="J4" s="5">
        <v>8</v>
      </c>
      <c r="K4" s="5">
        <v>0</v>
      </c>
      <c r="L4" s="5">
        <v>311.52</v>
      </c>
      <c r="M4" s="45" t="s">
        <v>27</v>
      </c>
    </row>
    <row r="5" spans="1:13" ht="47.25" x14ac:dyDescent="0.25">
      <c r="A5" s="4" t="s">
        <v>175</v>
      </c>
      <c r="B5" s="5" t="s">
        <v>176</v>
      </c>
      <c r="C5" s="7">
        <v>41646</v>
      </c>
      <c r="D5" s="5" t="s">
        <v>177</v>
      </c>
      <c r="E5" s="5" t="s">
        <v>16</v>
      </c>
      <c r="F5" s="5" t="s">
        <v>17</v>
      </c>
      <c r="G5" s="5" t="s">
        <v>2</v>
      </c>
      <c r="H5" s="5" t="s">
        <v>31</v>
      </c>
      <c r="I5" s="5">
        <v>2862.6750000000002</v>
      </c>
      <c r="J5" s="5">
        <v>5</v>
      </c>
      <c r="K5" s="5">
        <v>0.1</v>
      </c>
      <c r="L5" s="5">
        <v>763.27499999999998</v>
      </c>
      <c r="M5" s="45" t="s">
        <v>27</v>
      </c>
    </row>
    <row r="6" spans="1:13" ht="15.75" x14ac:dyDescent="0.25">
      <c r="A6" s="4"/>
      <c r="B6" s="7">
        <v>41071</v>
      </c>
      <c r="C6" s="7">
        <v>41132</v>
      </c>
      <c r="D6" s="5" t="s">
        <v>178</v>
      </c>
      <c r="E6" s="5" t="s">
        <v>72</v>
      </c>
      <c r="F6" s="5" t="s">
        <v>17</v>
      </c>
      <c r="G6" s="5" t="s">
        <v>14</v>
      </c>
      <c r="H6" s="5" t="s">
        <v>11</v>
      </c>
      <c r="I6" s="5">
        <v>1822.08</v>
      </c>
      <c r="J6" s="5">
        <v>4</v>
      </c>
      <c r="K6" s="5">
        <v>0</v>
      </c>
      <c r="L6" s="5">
        <v>564.84</v>
      </c>
      <c r="M6" s="45" t="s">
        <v>27</v>
      </c>
    </row>
    <row r="7" spans="1:13" ht="15.75" x14ac:dyDescent="0.25">
      <c r="A7" s="9" t="s">
        <v>179</v>
      </c>
      <c r="B7" s="5"/>
      <c r="C7" s="5"/>
      <c r="D7" s="5" t="s">
        <v>180</v>
      </c>
      <c r="E7" s="5" t="s">
        <v>72</v>
      </c>
      <c r="F7" s="5" t="s">
        <v>17</v>
      </c>
      <c r="G7" s="5" t="s">
        <v>14</v>
      </c>
      <c r="H7" s="5" t="s">
        <v>31</v>
      </c>
      <c r="I7" s="5">
        <v>5244.84</v>
      </c>
      <c r="J7" s="5">
        <v>6</v>
      </c>
      <c r="K7" s="5">
        <v>0</v>
      </c>
      <c r="L7" s="5">
        <v>996.48</v>
      </c>
      <c r="M7" s="45" t="s">
        <v>8</v>
      </c>
    </row>
    <row r="8" spans="1:13" ht="47.25" x14ac:dyDescent="0.25">
      <c r="A8" s="4" t="s">
        <v>181</v>
      </c>
      <c r="B8" s="7">
        <v>41954</v>
      </c>
      <c r="C8" s="5" t="s">
        <v>182</v>
      </c>
      <c r="D8" s="5" t="s">
        <v>183</v>
      </c>
      <c r="E8" s="5" t="s">
        <v>5</v>
      </c>
      <c r="F8" s="5" t="s">
        <v>52</v>
      </c>
      <c r="G8" s="5" t="s">
        <v>14</v>
      </c>
      <c r="H8" s="5" t="s">
        <v>18</v>
      </c>
      <c r="I8" s="5">
        <v>341.96</v>
      </c>
      <c r="J8" s="5">
        <v>2</v>
      </c>
      <c r="K8" s="5">
        <v>0</v>
      </c>
      <c r="L8" s="5">
        <v>54.7136</v>
      </c>
      <c r="M8" s="45" t="s">
        <v>8</v>
      </c>
    </row>
    <row r="9" spans="1:13" ht="47.25" x14ac:dyDescent="0.25">
      <c r="A9" s="4" t="s">
        <v>184</v>
      </c>
      <c r="B9" s="7">
        <v>41063</v>
      </c>
      <c r="C9" s="7">
        <v>41093</v>
      </c>
      <c r="D9" s="5" t="s">
        <v>183</v>
      </c>
      <c r="E9" s="5" t="s">
        <v>5</v>
      </c>
      <c r="F9" s="5" t="s">
        <v>39</v>
      </c>
      <c r="G9" s="5" t="s">
        <v>14</v>
      </c>
      <c r="H9" s="5" t="s">
        <v>3</v>
      </c>
      <c r="I9" s="5">
        <v>48.712000000000003</v>
      </c>
      <c r="J9" s="5">
        <v>1</v>
      </c>
      <c r="K9" s="5"/>
      <c r="L9" s="5">
        <v>5.4801000000000002</v>
      </c>
      <c r="M9" s="45" t="s">
        <v>8</v>
      </c>
    </row>
    <row r="10" spans="1:13" ht="47.25" x14ac:dyDescent="0.25">
      <c r="A10" s="4" t="s">
        <v>184</v>
      </c>
      <c r="B10" s="7">
        <v>41063</v>
      </c>
      <c r="C10" s="7">
        <v>41093</v>
      </c>
      <c r="D10" s="8" t="s">
        <v>183</v>
      </c>
      <c r="E10" s="5"/>
      <c r="F10" s="5" t="s">
        <v>39</v>
      </c>
      <c r="G10" s="5" t="s">
        <v>10</v>
      </c>
      <c r="H10" s="5" t="s">
        <v>7</v>
      </c>
      <c r="I10" s="5" t="s">
        <v>185</v>
      </c>
      <c r="J10" s="5">
        <v>3</v>
      </c>
      <c r="K10" s="5">
        <v>0</v>
      </c>
      <c r="L10" s="5">
        <v>26.647123529999998</v>
      </c>
      <c r="M10" s="45" t="s">
        <v>8</v>
      </c>
    </row>
    <row r="11" spans="1:13" ht="47.25" x14ac:dyDescent="0.25">
      <c r="A11" s="4" t="s">
        <v>186</v>
      </c>
      <c r="B11" s="5" t="s">
        <v>187</v>
      </c>
      <c r="C11" s="10">
        <v>41386</v>
      </c>
      <c r="D11" s="5" t="s">
        <v>188</v>
      </c>
      <c r="E11" s="5" t="s">
        <v>189</v>
      </c>
      <c r="F11" s="5" t="s">
        <v>34</v>
      </c>
      <c r="G11" s="5" t="s">
        <v>14</v>
      </c>
      <c r="H11" s="5" t="s">
        <v>3</v>
      </c>
      <c r="I11" s="5">
        <v>4626.1499999999996</v>
      </c>
      <c r="J11" s="5">
        <v>5</v>
      </c>
      <c r="K11" s="5">
        <v>0</v>
      </c>
      <c r="L11" s="5"/>
      <c r="M11" s="45" t="s">
        <v>8</v>
      </c>
    </row>
    <row r="12" spans="1:13" ht="47.25" x14ac:dyDescent="0.25">
      <c r="A12" s="4" t="s">
        <v>190</v>
      </c>
      <c r="B12" s="5" t="s">
        <v>96</v>
      </c>
      <c r="C12" s="5"/>
      <c r="D12" s="5" t="s">
        <v>135</v>
      </c>
      <c r="E12" s="5" t="s">
        <v>59</v>
      </c>
      <c r="F12" s="5" t="s">
        <v>30</v>
      </c>
      <c r="G12" s="5" t="s">
        <v>2</v>
      </c>
      <c r="H12" s="5" t="s">
        <v>191</v>
      </c>
      <c r="I12" s="5">
        <v>2616.96</v>
      </c>
      <c r="J12" s="5">
        <v>4</v>
      </c>
      <c r="K12" s="5">
        <v>0</v>
      </c>
      <c r="L12" s="5">
        <v>1151.4000000000001</v>
      </c>
      <c r="M12" s="45" t="s">
        <v>27</v>
      </c>
    </row>
    <row r="13" spans="1:13" ht="15.75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6"/>
    </row>
    <row r="14" spans="1:13" ht="47.25" x14ac:dyDescent="0.25">
      <c r="A14" s="4" t="s">
        <v>192</v>
      </c>
      <c r="B14" s="7">
        <v>41796</v>
      </c>
      <c r="C14" s="7">
        <v>41857</v>
      </c>
      <c r="D14" s="5" t="s">
        <v>193</v>
      </c>
      <c r="E14" s="5" t="s">
        <v>50</v>
      </c>
      <c r="F14" s="5" t="s">
        <v>194</v>
      </c>
      <c r="G14" s="5" t="s">
        <v>10</v>
      </c>
      <c r="H14" s="5" t="s">
        <v>31</v>
      </c>
      <c r="I14" s="5">
        <v>3701.52</v>
      </c>
      <c r="J14" s="5">
        <v>12</v>
      </c>
      <c r="K14" s="5">
        <v>0</v>
      </c>
      <c r="L14" s="5">
        <v>1036.08</v>
      </c>
      <c r="M14" s="45" t="s">
        <v>27</v>
      </c>
    </row>
    <row r="15" spans="1:13" ht="47.25" x14ac:dyDescent="0.25">
      <c r="A15" s="4" t="s">
        <v>195</v>
      </c>
      <c r="B15" s="5" t="s">
        <v>196</v>
      </c>
      <c r="C15" s="7">
        <v>42071</v>
      </c>
      <c r="D15" s="5" t="s">
        <v>197</v>
      </c>
      <c r="E15" s="5" t="s">
        <v>12</v>
      </c>
      <c r="F15" s="5" t="s">
        <v>13</v>
      </c>
      <c r="G15" s="5" t="s">
        <v>10</v>
      </c>
      <c r="H15" s="5" t="s">
        <v>18</v>
      </c>
      <c r="I15" s="5">
        <v>1869.588</v>
      </c>
      <c r="J15" s="5">
        <v>4</v>
      </c>
      <c r="K15" s="5">
        <v>0.1</v>
      </c>
      <c r="L15" s="5"/>
      <c r="M15" s="45" t="s">
        <v>27</v>
      </c>
    </row>
    <row r="16" spans="1:13" ht="47.25" x14ac:dyDescent="0.25">
      <c r="A16" s="4" t="s">
        <v>198</v>
      </c>
      <c r="B16" s="5" t="s">
        <v>199</v>
      </c>
      <c r="C16" s="5" t="s">
        <v>140</v>
      </c>
      <c r="D16" s="5" t="s">
        <v>183</v>
      </c>
      <c r="E16" s="5" t="s">
        <v>5</v>
      </c>
      <c r="F16" s="5" t="s">
        <v>52</v>
      </c>
      <c r="G16" s="5" t="s">
        <v>10</v>
      </c>
      <c r="H16" s="5" t="s">
        <v>24</v>
      </c>
      <c r="I16" s="5">
        <v>12.624000000000001</v>
      </c>
      <c r="J16" s="5">
        <v>2</v>
      </c>
      <c r="K16" s="5">
        <v>0.2</v>
      </c>
      <c r="L16" s="5">
        <v>-2.5247999999999999</v>
      </c>
      <c r="M16" s="45" t="s">
        <v>25</v>
      </c>
    </row>
    <row r="17" spans="1:13" ht="47.25" x14ac:dyDescent="0.25">
      <c r="A17" s="4" t="s">
        <v>200</v>
      </c>
      <c r="B17" s="7">
        <v>42225</v>
      </c>
      <c r="C17" s="5" t="s">
        <v>95</v>
      </c>
      <c r="D17" s="5"/>
      <c r="E17" s="5" t="s">
        <v>54</v>
      </c>
      <c r="F17" s="5" t="s">
        <v>67</v>
      </c>
      <c r="G17" s="5" t="s">
        <v>10</v>
      </c>
      <c r="H17" s="5" t="s">
        <v>24</v>
      </c>
      <c r="I17" s="5" t="s">
        <v>201</v>
      </c>
      <c r="J17" s="5">
        <v>14</v>
      </c>
      <c r="K17" s="5">
        <v>0</v>
      </c>
      <c r="L17" s="5">
        <v>3979.08</v>
      </c>
      <c r="M17" s="45" t="s">
        <v>25</v>
      </c>
    </row>
    <row r="18" spans="1:13" ht="47.25" x14ac:dyDescent="0.25">
      <c r="A18" s="4" t="s">
        <v>202</v>
      </c>
      <c r="B18" s="5" t="s">
        <v>203</v>
      </c>
      <c r="C18" s="7">
        <v>42006</v>
      </c>
      <c r="D18" s="5" t="s">
        <v>204</v>
      </c>
      <c r="E18" s="5" t="s">
        <v>16</v>
      </c>
      <c r="F18" s="5" t="s">
        <v>17</v>
      </c>
      <c r="G18" s="5"/>
      <c r="H18" s="5" t="s">
        <v>22</v>
      </c>
      <c r="I18" s="5">
        <v>2565.5940000000001</v>
      </c>
      <c r="J18" s="5">
        <v>9</v>
      </c>
      <c r="K18" s="5"/>
      <c r="L18" s="5"/>
      <c r="M18" s="45" t="s">
        <v>27</v>
      </c>
    </row>
    <row r="19" spans="1:13" ht="47.25" x14ac:dyDescent="0.25">
      <c r="A19" s="4" t="s">
        <v>205</v>
      </c>
      <c r="B19" s="7">
        <v>42136</v>
      </c>
      <c r="C19" s="7">
        <v>42197</v>
      </c>
      <c r="D19" s="5" t="s">
        <v>41</v>
      </c>
      <c r="E19" s="5" t="s">
        <v>117</v>
      </c>
      <c r="F19" s="5" t="s">
        <v>26</v>
      </c>
      <c r="G19" s="5" t="s">
        <v>10</v>
      </c>
      <c r="H19" s="5" t="s">
        <v>24</v>
      </c>
      <c r="I19" s="5">
        <v>3409.74</v>
      </c>
      <c r="J19" s="5">
        <v>6</v>
      </c>
      <c r="K19" s="5">
        <v>0</v>
      </c>
      <c r="L19" s="5">
        <v>818.28</v>
      </c>
      <c r="M19" s="45" t="s">
        <v>8</v>
      </c>
    </row>
    <row r="20" spans="1:13" ht="47.25" x14ac:dyDescent="0.25">
      <c r="A20" s="4" t="s">
        <v>206</v>
      </c>
      <c r="B20" s="7">
        <v>41494</v>
      </c>
      <c r="C20" s="7">
        <v>41555</v>
      </c>
      <c r="D20" s="8" t="s">
        <v>207</v>
      </c>
      <c r="E20" s="5"/>
      <c r="F20" s="5" t="s">
        <v>32</v>
      </c>
      <c r="G20" s="5" t="s">
        <v>14</v>
      </c>
      <c r="H20" s="5" t="s">
        <v>11</v>
      </c>
      <c r="I20" s="5">
        <v>1977.72</v>
      </c>
      <c r="J20" s="5">
        <v>4</v>
      </c>
      <c r="K20" s="5">
        <v>0</v>
      </c>
      <c r="L20" s="5">
        <v>276.83999999999997</v>
      </c>
      <c r="M20" s="45" t="s">
        <v>27</v>
      </c>
    </row>
    <row r="21" spans="1:13" ht="15.75" x14ac:dyDescent="0.25">
      <c r="A21" s="30"/>
      <c r="B21" s="31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47"/>
    </row>
    <row r="22" spans="1:13" ht="15.75" x14ac:dyDescent="0.25">
      <c r="A22" s="30"/>
      <c r="B22" s="31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47"/>
    </row>
    <row r="23" spans="1:13" ht="15.75" x14ac:dyDescent="0.25">
      <c r="A23" s="34"/>
      <c r="B23" s="35"/>
      <c r="C23" s="36"/>
      <c r="D23" s="35"/>
      <c r="E23" s="35"/>
      <c r="F23" s="35"/>
      <c r="G23" s="35"/>
      <c r="H23" s="35"/>
      <c r="I23" s="35"/>
      <c r="J23" s="35"/>
      <c r="K23" s="35"/>
      <c r="L23" s="35"/>
      <c r="M23" s="48"/>
    </row>
    <row r="24" spans="1:13" ht="15.75" x14ac:dyDescent="0.25">
      <c r="A24" s="34"/>
      <c r="B24" s="35"/>
      <c r="C24" s="36"/>
      <c r="D24" s="35"/>
      <c r="E24" s="35"/>
      <c r="F24" s="35"/>
      <c r="G24" s="35"/>
      <c r="H24" s="35"/>
      <c r="I24" s="35"/>
      <c r="J24" s="35"/>
      <c r="K24" s="35"/>
      <c r="L24" s="35"/>
      <c r="M24" s="48"/>
    </row>
    <row r="25" spans="1:13" ht="15.75" x14ac:dyDescent="0.25">
      <c r="A25" s="34"/>
      <c r="B25" s="36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48"/>
    </row>
    <row r="26" spans="1:13" ht="15.75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48"/>
    </row>
    <row r="27" spans="1:13" ht="15.75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49"/>
    </row>
    <row r="28" spans="1:13" x14ac:dyDescent="0.25">
      <c r="I28" s="39"/>
    </row>
    <row r="32" spans="1:13" ht="135" x14ac:dyDescent="0.25">
      <c r="C32" s="33"/>
      <c r="D32" s="39" t="s">
        <v>633</v>
      </c>
      <c r="F32" s="43"/>
      <c r="G32" s="39" t="s">
        <v>634</v>
      </c>
    </row>
    <row r="34" spans="3:4" ht="60" x14ac:dyDescent="0.25">
      <c r="C34" s="42"/>
      <c r="D34" s="39" t="s">
        <v>632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860A-5540-4B46-9B93-013C898B76A0}">
  <dimension ref="A1:R16"/>
  <sheetViews>
    <sheetView topLeftCell="J1" zoomScaleNormal="100" workbookViewId="0">
      <selection activeCell="P15" sqref="P15"/>
    </sheetView>
  </sheetViews>
  <sheetFormatPr defaultRowHeight="15" x14ac:dyDescent="0.25"/>
  <cols>
    <col min="1" max="1" width="28.28515625" bestFit="1" customWidth="1"/>
    <col min="2" max="3" width="22.28515625" bestFit="1" customWidth="1"/>
    <col min="4" max="4" width="23.140625" customWidth="1"/>
    <col min="5" max="5" width="13.140625" customWidth="1"/>
    <col min="6" max="6" width="12.140625" customWidth="1"/>
    <col min="7" max="7" width="14.5703125" customWidth="1"/>
    <col min="8" max="8" width="20" customWidth="1"/>
    <col min="9" max="9" width="16.85546875" customWidth="1"/>
    <col min="10" max="10" width="13.5703125" customWidth="1"/>
    <col min="11" max="11" width="14.5703125" customWidth="1"/>
    <col min="12" max="12" width="13.140625" bestFit="1" customWidth="1"/>
    <col min="13" max="13" width="20" customWidth="1"/>
    <col min="15" max="15" width="14.42578125" customWidth="1"/>
    <col min="16" max="16" width="27.42578125" customWidth="1"/>
    <col min="17" max="17" width="45.28515625" customWidth="1"/>
    <col min="18" max="18" width="33.5703125" customWidth="1"/>
  </cols>
  <sheetData>
    <row r="1" spans="1:18" x14ac:dyDescent="0.25">
      <c r="A1" s="54" t="s">
        <v>153</v>
      </c>
      <c r="B1" s="55" t="s">
        <v>154</v>
      </c>
      <c r="C1" s="55" t="s">
        <v>155</v>
      </c>
      <c r="D1" s="55" t="s">
        <v>156</v>
      </c>
      <c r="E1" s="55" t="s">
        <v>157</v>
      </c>
      <c r="F1" s="55" t="s">
        <v>158</v>
      </c>
      <c r="G1" s="55" t="s">
        <v>159</v>
      </c>
      <c r="H1" s="55" t="s">
        <v>160</v>
      </c>
      <c r="I1" s="55" t="s">
        <v>161</v>
      </c>
      <c r="J1" s="55" t="s">
        <v>162</v>
      </c>
      <c r="K1" s="55" t="s">
        <v>163</v>
      </c>
      <c r="L1" s="55" t="s">
        <v>164</v>
      </c>
      <c r="M1" s="56" t="s">
        <v>165</v>
      </c>
    </row>
    <row r="2" spans="1:18" ht="90" customHeight="1" x14ac:dyDescent="0.25">
      <c r="A2" s="17" t="s">
        <v>166</v>
      </c>
      <c r="B2" s="20" t="s">
        <v>167</v>
      </c>
      <c r="C2" s="20" t="s">
        <v>168</v>
      </c>
      <c r="D2" s="20" t="s">
        <v>169</v>
      </c>
      <c r="E2" s="20" t="s">
        <v>16</v>
      </c>
      <c r="F2" s="20" t="s">
        <v>17</v>
      </c>
      <c r="G2" s="20" t="s">
        <v>2</v>
      </c>
      <c r="H2" s="20" t="s">
        <v>22</v>
      </c>
      <c r="I2" s="20">
        <v>5175.1710000000003</v>
      </c>
      <c r="J2" s="20">
        <v>9</v>
      </c>
      <c r="K2" s="20">
        <v>0.1</v>
      </c>
      <c r="L2" s="20">
        <v>919.971</v>
      </c>
      <c r="M2" s="21" t="s">
        <v>4</v>
      </c>
      <c r="O2" s="57" t="s">
        <v>635</v>
      </c>
      <c r="P2" s="57">
        <f>SUM(Table5[Sales])</f>
        <v>34047.75</v>
      </c>
      <c r="Q2" s="63" t="s">
        <v>640</v>
      </c>
      <c r="R2" s="75" t="s">
        <v>641</v>
      </c>
    </row>
    <row r="3" spans="1:18" ht="31.5" x14ac:dyDescent="0.25">
      <c r="A3" s="22" t="s">
        <v>170</v>
      </c>
      <c r="B3" s="23" t="s">
        <v>171</v>
      </c>
      <c r="C3" s="23" t="s">
        <v>172</v>
      </c>
      <c r="D3" s="23" t="s">
        <v>173</v>
      </c>
      <c r="E3" s="23" t="s">
        <v>20</v>
      </c>
      <c r="F3" s="23"/>
      <c r="G3" s="23" t="s">
        <v>2</v>
      </c>
      <c r="H3" s="23" t="s">
        <v>18</v>
      </c>
      <c r="I3" s="23">
        <v>2892.51</v>
      </c>
      <c r="J3" s="23">
        <v>5</v>
      </c>
      <c r="K3" s="23">
        <v>0.1</v>
      </c>
      <c r="L3" s="23">
        <v>-96.54</v>
      </c>
      <c r="M3" s="25"/>
      <c r="O3" s="57" t="s">
        <v>636</v>
      </c>
      <c r="P3" s="57">
        <f>AVERAGE(Table5[Sales])</f>
        <v>2619.0576923076924</v>
      </c>
      <c r="Q3" s="63" t="s">
        <v>642</v>
      </c>
      <c r="R3" s="75"/>
    </row>
    <row r="4" spans="1:18" ht="31.5" x14ac:dyDescent="0.25">
      <c r="A4" s="17"/>
      <c r="B4" s="18">
        <v>41770</v>
      </c>
      <c r="C4" s="18">
        <v>41801</v>
      </c>
      <c r="D4" s="19" t="s">
        <v>174</v>
      </c>
      <c r="E4" s="20"/>
      <c r="F4" s="20" t="s">
        <v>149</v>
      </c>
      <c r="G4" s="20" t="s">
        <v>2</v>
      </c>
      <c r="H4" s="20" t="s">
        <v>31</v>
      </c>
      <c r="I4" s="20">
        <v>2832.96</v>
      </c>
      <c r="J4" s="20">
        <v>8</v>
      </c>
      <c r="K4" s="20">
        <v>0</v>
      </c>
      <c r="L4" s="20">
        <v>311.52</v>
      </c>
      <c r="M4" s="21" t="s">
        <v>27</v>
      </c>
      <c r="O4" s="57" t="s">
        <v>637</v>
      </c>
      <c r="P4" s="57">
        <f>MIN(Table5[Sales])</f>
        <v>12.624000000000001</v>
      </c>
      <c r="Q4" s="63" t="s">
        <v>645</v>
      </c>
      <c r="R4" s="75"/>
    </row>
    <row r="5" spans="1:18" ht="15.75" x14ac:dyDescent="0.25">
      <c r="A5" s="22" t="s">
        <v>175</v>
      </c>
      <c r="B5" s="23" t="s">
        <v>176</v>
      </c>
      <c r="C5" s="24">
        <v>41646</v>
      </c>
      <c r="D5" s="23" t="s">
        <v>177</v>
      </c>
      <c r="E5" s="23" t="s">
        <v>16</v>
      </c>
      <c r="F5" s="23" t="s">
        <v>17</v>
      </c>
      <c r="G5" s="23" t="s">
        <v>2</v>
      </c>
      <c r="H5" s="23" t="s">
        <v>31</v>
      </c>
      <c r="I5" s="23">
        <v>2862.6750000000002</v>
      </c>
      <c r="J5" s="23">
        <v>5</v>
      </c>
      <c r="K5" s="23">
        <v>0.1</v>
      </c>
      <c r="L5" s="23">
        <v>763.27499999999998</v>
      </c>
      <c r="M5" s="25" t="s">
        <v>27</v>
      </c>
      <c r="O5" s="57" t="s">
        <v>638</v>
      </c>
      <c r="P5" s="57">
        <f>MAX(Table5[Sales])</f>
        <v>5244.84</v>
      </c>
      <c r="Q5" s="63" t="s">
        <v>646</v>
      </c>
      <c r="R5" s="75"/>
    </row>
    <row r="6" spans="1:18" ht="15.75" x14ac:dyDescent="0.25">
      <c r="A6" s="17"/>
      <c r="B6" s="18">
        <v>41071</v>
      </c>
      <c r="C6" s="18">
        <v>41132</v>
      </c>
      <c r="D6" s="20" t="s">
        <v>178</v>
      </c>
      <c r="E6" s="20" t="s">
        <v>72</v>
      </c>
      <c r="F6" s="20" t="s">
        <v>17</v>
      </c>
      <c r="G6" s="20" t="s">
        <v>14</v>
      </c>
      <c r="H6" s="20" t="s">
        <v>11</v>
      </c>
      <c r="I6" s="20">
        <v>1822.08</v>
      </c>
      <c r="J6" s="20">
        <v>4</v>
      </c>
      <c r="K6" s="20">
        <v>0</v>
      </c>
      <c r="L6" s="20">
        <v>564.84</v>
      </c>
      <c r="M6" s="21" t="s">
        <v>27</v>
      </c>
      <c r="O6" s="57" t="s">
        <v>639</v>
      </c>
      <c r="P6" s="57">
        <f>COUNT(Table5[Sales])</f>
        <v>13</v>
      </c>
      <c r="Q6" s="63" t="s">
        <v>647</v>
      </c>
      <c r="R6" s="75"/>
    </row>
    <row r="7" spans="1:18" ht="15.75" x14ac:dyDescent="0.25">
      <c r="A7" s="26" t="s">
        <v>179</v>
      </c>
      <c r="B7" s="23"/>
      <c r="C7" s="23"/>
      <c r="D7" s="23" t="s">
        <v>180</v>
      </c>
      <c r="E7" s="23" t="s">
        <v>72</v>
      </c>
      <c r="F7" s="23" t="s">
        <v>17</v>
      </c>
      <c r="G7" s="23" t="s">
        <v>14</v>
      </c>
      <c r="H7" s="23" t="s">
        <v>31</v>
      </c>
      <c r="I7" s="23">
        <v>5244.84</v>
      </c>
      <c r="J7" s="23">
        <v>6</v>
      </c>
      <c r="K7" s="23">
        <v>0</v>
      </c>
      <c r="L7" s="23">
        <v>996.48</v>
      </c>
      <c r="M7" s="25" t="s">
        <v>8</v>
      </c>
    </row>
    <row r="8" spans="1:18" ht="31.5" x14ac:dyDescent="0.25">
      <c r="A8" s="17" t="s">
        <v>181</v>
      </c>
      <c r="B8" s="18">
        <v>41954</v>
      </c>
      <c r="C8" s="20" t="s">
        <v>182</v>
      </c>
      <c r="D8" s="20" t="s">
        <v>183</v>
      </c>
      <c r="E8" s="20" t="s">
        <v>5</v>
      </c>
      <c r="F8" s="20" t="s">
        <v>52</v>
      </c>
      <c r="G8" s="20" t="s">
        <v>14</v>
      </c>
      <c r="H8" s="20" t="s">
        <v>18</v>
      </c>
      <c r="I8" s="20">
        <v>341.96</v>
      </c>
      <c r="J8" s="20">
        <v>2</v>
      </c>
      <c r="K8" s="20">
        <v>0</v>
      </c>
      <c r="L8" s="20">
        <v>54.7136</v>
      </c>
      <c r="M8" s="21" t="s">
        <v>8</v>
      </c>
    </row>
    <row r="9" spans="1:18" ht="31.5" x14ac:dyDescent="0.25">
      <c r="A9" s="22" t="s">
        <v>184</v>
      </c>
      <c r="B9" s="24">
        <v>41063</v>
      </c>
      <c r="C9" s="24">
        <v>41093</v>
      </c>
      <c r="D9" s="23" t="s">
        <v>183</v>
      </c>
      <c r="E9" s="23" t="s">
        <v>5</v>
      </c>
      <c r="F9" s="23" t="s">
        <v>39</v>
      </c>
      <c r="G9" s="23" t="s">
        <v>14</v>
      </c>
      <c r="H9" s="23" t="s">
        <v>3</v>
      </c>
      <c r="I9" s="23">
        <v>48.712000000000003</v>
      </c>
      <c r="J9" s="23">
        <v>1</v>
      </c>
      <c r="K9" s="23"/>
      <c r="L9" s="23">
        <v>5.4801000000000002</v>
      </c>
      <c r="M9" s="25" t="s">
        <v>8</v>
      </c>
      <c r="O9" s="57" t="s">
        <v>635</v>
      </c>
      <c r="P9" s="57">
        <f>SUM(Table5[Profit])</f>
        <v>9710.4220235300018</v>
      </c>
      <c r="Q9" s="63" t="s">
        <v>643</v>
      </c>
    </row>
    <row r="10" spans="1:18" ht="31.5" x14ac:dyDescent="0.25">
      <c r="A10" s="17" t="s">
        <v>184</v>
      </c>
      <c r="B10" s="18">
        <v>41063</v>
      </c>
      <c r="C10" s="18">
        <v>41093</v>
      </c>
      <c r="D10" s="19" t="s">
        <v>183</v>
      </c>
      <c r="E10" s="20"/>
      <c r="F10" s="20" t="s">
        <v>39</v>
      </c>
      <c r="G10" s="20" t="s">
        <v>10</v>
      </c>
      <c r="H10" s="20" t="s">
        <v>7</v>
      </c>
      <c r="I10" s="58" t="s">
        <v>185</v>
      </c>
      <c r="J10" s="20">
        <v>3</v>
      </c>
      <c r="K10" s="20">
        <v>0</v>
      </c>
      <c r="L10" s="20">
        <v>26.647123529999998</v>
      </c>
      <c r="M10" s="21" t="s">
        <v>8</v>
      </c>
      <c r="O10" s="57" t="s">
        <v>636</v>
      </c>
      <c r="P10" s="57">
        <f>AVERAGE(Table5[Profit])</f>
        <v>746.95554027153855</v>
      </c>
      <c r="Q10" s="63" t="s">
        <v>644</v>
      </c>
    </row>
    <row r="11" spans="1:18" ht="31.5" x14ac:dyDescent="0.25">
      <c r="A11" s="22" t="s">
        <v>186</v>
      </c>
      <c r="B11" s="23" t="s">
        <v>187</v>
      </c>
      <c r="C11" s="27">
        <v>41386</v>
      </c>
      <c r="D11" s="23" t="s">
        <v>188</v>
      </c>
      <c r="E11" s="23" t="s">
        <v>189</v>
      </c>
      <c r="F11" s="23" t="s">
        <v>34</v>
      </c>
      <c r="G11" s="23" t="s">
        <v>14</v>
      </c>
      <c r="H11" s="23" t="s">
        <v>3</v>
      </c>
      <c r="I11" s="23">
        <v>4626.1499999999996</v>
      </c>
      <c r="J11" s="23">
        <v>5</v>
      </c>
      <c r="K11" s="23">
        <v>0</v>
      </c>
      <c r="L11" s="23"/>
      <c r="M11" s="25" t="s">
        <v>8</v>
      </c>
      <c r="O11" s="57" t="s">
        <v>637</v>
      </c>
      <c r="P11" s="57">
        <f>MIN(Table5[Profit])</f>
        <v>-96.54</v>
      </c>
      <c r="Q11" s="63" t="s">
        <v>648</v>
      </c>
    </row>
    <row r="12" spans="1:18" ht="31.5" x14ac:dyDescent="0.25">
      <c r="A12" s="17" t="s">
        <v>190</v>
      </c>
      <c r="B12" s="20" t="s">
        <v>96</v>
      </c>
      <c r="C12" s="20"/>
      <c r="D12" s="20" t="s">
        <v>135</v>
      </c>
      <c r="E12" s="20" t="s">
        <v>59</v>
      </c>
      <c r="F12" s="20" t="s">
        <v>30</v>
      </c>
      <c r="G12" s="20" t="s">
        <v>2</v>
      </c>
      <c r="H12" s="20" t="s">
        <v>191</v>
      </c>
      <c r="I12" s="20">
        <v>2616.96</v>
      </c>
      <c r="J12" s="20">
        <v>4</v>
      </c>
      <c r="K12" s="20">
        <v>0</v>
      </c>
      <c r="L12" s="20">
        <v>1151.4000000000001</v>
      </c>
      <c r="M12" s="21" t="s">
        <v>27</v>
      </c>
      <c r="O12" s="57" t="s">
        <v>638</v>
      </c>
      <c r="P12" s="57">
        <f>MAX(Table5[Profit])</f>
        <v>3979.08</v>
      </c>
      <c r="Q12" s="63" t="s">
        <v>649</v>
      </c>
    </row>
    <row r="13" spans="1:18" ht="31.5" x14ac:dyDescent="0.25">
      <c r="A13" s="17" t="s">
        <v>192</v>
      </c>
      <c r="B13" s="18">
        <v>41796</v>
      </c>
      <c r="C13" s="18">
        <v>41857</v>
      </c>
      <c r="D13" s="20" t="s">
        <v>193</v>
      </c>
      <c r="E13" s="20" t="s">
        <v>50</v>
      </c>
      <c r="F13" s="20" t="s">
        <v>194</v>
      </c>
      <c r="G13" s="20" t="s">
        <v>10</v>
      </c>
      <c r="H13" s="20" t="s">
        <v>31</v>
      </c>
      <c r="I13" s="20">
        <v>3701.52</v>
      </c>
      <c r="J13" s="20">
        <v>12</v>
      </c>
      <c r="K13" s="20">
        <v>0</v>
      </c>
      <c r="L13" s="20">
        <v>1036.08</v>
      </c>
      <c r="M13" s="21" t="s">
        <v>27</v>
      </c>
      <c r="O13" s="57" t="s">
        <v>639</v>
      </c>
      <c r="P13" s="57">
        <f>COUNT(Table5[Profit])</f>
        <v>13</v>
      </c>
      <c r="Q13" s="63" t="s">
        <v>647</v>
      </c>
    </row>
    <row r="14" spans="1:18" ht="31.5" x14ac:dyDescent="0.25">
      <c r="A14" s="22" t="s">
        <v>195</v>
      </c>
      <c r="B14" s="23" t="s">
        <v>196</v>
      </c>
      <c r="C14" s="24">
        <v>42071</v>
      </c>
      <c r="D14" s="23" t="s">
        <v>197</v>
      </c>
      <c r="E14" s="23" t="s">
        <v>12</v>
      </c>
      <c r="F14" s="23" t="s">
        <v>13</v>
      </c>
      <c r="G14" s="23" t="s">
        <v>10</v>
      </c>
      <c r="H14" s="23" t="s">
        <v>18</v>
      </c>
      <c r="I14" s="23">
        <v>1869.588</v>
      </c>
      <c r="J14" s="23">
        <v>4</v>
      </c>
      <c r="K14" s="23">
        <v>0.1</v>
      </c>
      <c r="L14" s="23"/>
      <c r="M14" s="25" t="s">
        <v>27</v>
      </c>
    </row>
    <row r="15" spans="1:18" ht="31.5" x14ac:dyDescent="0.25">
      <c r="A15" s="17" t="s">
        <v>198</v>
      </c>
      <c r="B15" s="20" t="s">
        <v>199</v>
      </c>
      <c r="C15" s="20" t="s">
        <v>140</v>
      </c>
      <c r="D15" s="20" t="s">
        <v>183</v>
      </c>
      <c r="E15" s="20" t="s">
        <v>5</v>
      </c>
      <c r="F15" s="20" t="s">
        <v>52</v>
      </c>
      <c r="G15" s="20" t="s">
        <v>10</v>
      </c>
      <c r="H15" s="20" t="s">
        <v>24</v>
      </c>
      <c r="I15" s="20">
        <v>12.624000000000001</v>
      </c>
      <c r="J15" s="20">
        <v>2</v>
      </c>
      <c r="K15" s="20">
        <v>0.2</v>
      </c>
      <c r="L15" s="20">
        <v>-2.5247999999999999</v>
      </c>
      <c r="M15" s="21" t="s">
        <v>25</v>
      </c>
    </row>
    <row r="16" spans="1:18" ht="31.5" x14ac:dyDescent="0.25">
      <c r="A16" s="52" t="s">
        <v>200</v>
      </c>
      <c r="B16" s="53">
        <v>42225</v>
      </c>
      <c r="C16" s="28" t="s">
        <v>95</v>
      </c>
      <c r="D16" s="28"/>
      <c r="E16" s="28" t="s">
        <v>54</v>
      </c>
      <c r="F16" s="28" t="s">
        <v>67</v>
      </c>
      <c r="G16" s="28" t="s">
        <v>10</v>
      </c>
      <c r="H16" s="28" t="s">
        <v>24</v>
      </c>
      <c r="I16" s="59" t="s">
        <v>201</v>
      </c>
      <c r="J16" s="28">
        <v>14</v>
      </c>
      <c r="K16" s="28">
        <v>0</v>
      </c>
      <c r="L16" s="28">
        <v>3979.08</v>
      </c>
      <c r="M16" s="29" t="s">
        <v>25</v>
      </c>
    </row>
  </sheetData>
  <mergeCells count="1">
    <mergeCell ref="R2:R6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577C-2830-4EE3-AD24-ED844614F692}">
  <dimension ref="A1:S23"/>
  <sheetViews>
    <sheetView tabSelected="1" topLeftCell="B1" zoomScaleNormal="100" workbookViewId="0">
      <selection activeCell="Q15" sqref="Q15"/>
    </sheetView>
  </sheetViews>
  <sheetFormatPr defaultRowHeight="15" x14ac:dyDescent="0.25"/>
  <cols>
    <col min="1" max="1" width="25.7109375" customWidth="1"/>
    <col min="2" max="3" width="17.5703125" customWidth="1"/>
    <col min="4" max="4" width="11" customWidth="1"/>
    <col min="6" max="6" width="17.5703125" customWidth="1"/>
    <col min="7" max="7" width="11.42578125" customWidth="1"/>
    <col min="8" max="8" width="13.42578125" customWidth="1"/>
    <col min="9" max="9" width="10.7109375" customWidth="1"/>
    <col min="10" max="10" width="9.28515625" bestFit="1" customWidth="1"/>
    <col min="11" max="11" width="11" customWidth="1"/>
    <col min="12" max="12" width="11.5703125" bestFit="1" customWidth="1"/>
    <col min="13" max="13" width="9.28515625" customWidth="1"/>
    <col min="15" max="15" width="16.42578125" customWidth="1"/>
    <col min="16" max="16" width="11" customWidth="1"/>
    <col min="17" max="17" width="13.28515625" customWidth="1"/>
    <col min="18" max="18" width="14.28515625" customWidth="1"/>
    <col min="19" max="19" width="14.7109375" customWidth="1"/>
  </cols>
  <sheetData>
    <row r="1" spans="1:19" ht="31.5" x14ac:dyDescent="0.25">
      <c r="A1" s="1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3" t="s">
        <v>165</v>
      </c>
      <c r="O1" t="s">
        <v>650</v>
      </c>
      <c r="Q1" t="s">
        <v>652</v>
      </c>
      <c r="R1" t="s">
        <v>655</v>
      </c>
      <c r="S1" t="s">
        <v>654</v>
      </c>
    </row>
    <row r="2" spans="1:19" x14ac:dyDescent="0.25">
      <c r="A2" t="s">
        <v>479</v>
      </c>
      <c r="B2" t="s">
        <v>480</v>
      </c>
      <c r="C2">
        <v>41173</v>
      </c>
      <c r="D2" t="s">
        <v>403</v>
      </c>
      <c r="E2" t="s">
        <v>20</v>
      </c>
      <c r="F2" t="s">
        <v>13</v>
      </c>
      <c r="G2" t="s">
        <v>2</v>
      </c>
      <c r="H2" t="s">
        <v>24</v>
      </c>
      <c r="I2">
        <v>3616.5</v>
      </c>
      <c r="J2">
        <v>10</v>
      </c>
      <c r="K2">
        <v>0</v>
      </c>
      <c r="L2">
        <v>36</v>
      </c>
      <c r="M2" t="s">
        <v>27</v>
      </c>
      <c r="O2" s="60" t="str">
        <f t="shared" ref="O2:O21" si="0">IF(L2&gt;0,"PROFIT","LOSS")</f>
        <v>PROFIT</v>
      </c>
      <c r="Q2">
        <f>SUMIF(Table3[Category],"Office Supplies",Table3[Sales])</f>
        <v>14348.772000000001</v>
      </c>
      <c r="R2">
        <f>AVERAGEIF(Table3[Category],"Furniture",Table3[Sales])</f>
        <v>1652.3580000000002</v>
      </c>
      <c r="S2">
        <f>COUNTIF(Table3[Category],"TECHNOLOGY")</f>
        <v>5</v>
      </c>
    </row>
    <row r="3" spans="1:19" x14ac:dyDescent="0.25">
      <c r="A3" t="s">
        <v>439</v>
      </c>
      <c r="B3" t="s">
        <v>481</v>
      </c>
      <c r="C3" t="s">
        <v>111</v>
      </c>
      <c r="D3" t="s">
        <v>399</v>
      </c>
      <c r="E3" t="s">
        <v>464</v>
      </c>
      <c r="F3" t="s">
        <v>85</v>
      </c>
      <c r="G3" t="s">
        <v>14</v>
      </c>
      <c r="H3" t="s">
        <v>21</v>
      </c>
      <c r="I3">
        <v>127.88</v>
      </c>
      <c r="J3">
        <v>2</v>
      </c>
      <c r="K3">
        <v>0</v>
      </c>
      <c r="L3">
        <v>40.921599999999998</v>
      </c>
      <c r="M3" t="s">
        <v>4</v>
      </c>
      <c r="O3" s="60" t="str">
        <f t="shared" si="0"/>
        <v>PROFIT</v>
      </c>
    </row>
    <row r="4" spans="1:19" ht="75" x14ac:dyDescent="0.25">
      <c r="A4" t="s">
        <v>482</v>
      </c>
      <c r="B4">
        <v>41946</v>
      </c>
      <c r="C4" t="s">
        <v>483</v>
      </c>
      <c r="D4" t="s">
        <v>484</v>
      </c>
      <c r="E4" t="s">
        <v>16</v>
      </c>
      <c r="F4" t="s">
        <v>17</v>
      </c>
      <c r="G4" t="s">
        <v>2</v>
      </c>
      <c r="H4" t="s">
        <v>11</v>
      </c>
      <c r="I4">
        <v>2892.105</v>
      </c>
      <c r="J4">
        <v>5</v>
      </c>
      <c r="K4">
        <v>0.1</v>
      </c>
      <c r="L4">
        <v>160.60499999999999</v>
      </c>
      <c r="M4" t="s">
        <v>8</v>
      </c>
      <c r="O4" s="60" t="str">
        <f t="shared" si="0"/>
        <v>PROFIT</v>
      </c>
      <c r="Q4" s="39" t="s">
        <v>653</v>
      </c>
      <c r="R4" s="39" t="s">
        <v>657</v>
      </c>
      <c r="S4" s="39" t="s">
        <v>656</v>
      </c>
    </row>
    <row r="5" spans="1:19" x14ac:dyDescent="0.25">
      <c r="A5" t="s">
        <v>485</v>
      </c>
      <c r="B5">
        <v>41276</v>
      </c>
      <c r="C5">
        <v>41366</v>
      </c>
      <c r="D5" t="s">
        <v>45</v>
      </c>
      <c r="E5" t="s">
        <v>20</v>
      </c>
      <c r="F5" t="s">
        <v>13</v>
      </c>
      <c r="G5" t="s">
        <v>2</v>
      </c>
      <c r="H5" t="s">
        <v>48</v>
      </c>
      <c r="I5">
        <v>3263.4</v>
      </c>
      <c r="J5">
        <v>5</v>
      </c>
      <c r="K5">
        <v>0</v>
      </c>
      <c r="L5">
        <v>848.4</v>
      </c>
      <c r="M5" t="s">
        <v>93</v>
      </c>
      <c r="O5" s="60" t="str">
        <f t="shared" si="0"/>
        <v>PROFIT</v>
      </c>
      <c r="S5" s="62" t="s">
        <v>654</v>
      </c>
    </row>
    <row r="6" spans="1:19" x14ac:dyDescent="0.25">
      <c r="A6" t="s">
        <v>439</v>
      </c>
      <c r="B6" t="s">
        <v>481</v>
      </c>
      <c r="C6" t="s">
        <v>111</v>
      </c>
      <c r="D6" t="s">
        <v>399</v>
      </c>
      <c r="E6" t="s">
        <v>5</v>
      </c>
      <c r="F6" t="s">
        <v>85</v>
      </c>
      <c r="G6" t="s">
        <v>10</v>
      </c>
      <c r="H6" t="s">
        <v>31</v>
      </c>
      <c r="I6">
        <v>46</v>
      </c>
      <c r="J6">
        <v>4</v>
      </c>
      <c r="K6">
        <v>0</v>
      </c>
      <c r="L6">
        <v>20.7</v>
      </c>
      <c r="M6" t="s">
        <v>4</v>
      </c>
      <c r="O6" s="60" t="str">
        <f t="shared" si="0"/>
        <v>PROFIT</v>
      </c>
      <c r="S6">
        <f>COUNTIF(Table3[Sales],"&gt;1000")</f>
        <v>13</v>
      </c>
    </row>
    <row r="7" spans="1:19" ht="90" x14ac:dyDescent="0.25">
      <c r="A7" t="s">
        <v>486</v>
      </c>
      <c r="B7">
        <v>42251</v>
      </c>
      <c r="C7" t="s">
        <v>487</v>
      </c>
      <c r="D7" t="s">
        <v>488</v>
      </c>
      <c r="E7" t="s">
        <v>114</v>
      </c>
      <c r="F7" t="s">
        <v>61</v>
      </c>
      <c r="G7" t="s">
        <v>14</v>
      </c>
      <c r="H7" t="s">
        <v>31</v>
      </c>
      <c r="I7">
        <v>3117.0880000000002</v>
      </c>
      <c r="J7">
        <v>13</v>
      </c>
      <c r="K7">
        <v>0.2</v>
      </c>
      <c r="L7">
        <v>38.948</v>
      </c>
      <c r="M7" t="s">
        <v>8</v>
      </c>
      <c r="O7" s="60" t="str">
        <f t="shared" si="0"/>
        <v>PROFIT</v>
      </c>
      <c r="S7" s="39" t="s">
        <v>658</v>
      </c>
    </row>
    <row r="8" spans="1:19" x14ac:dyDescent="0.25">
      <c r="A8" t="s">
        <v>489</v>
      </c>
      <c r="B8" t="s">
        <v>490</v>
      </c>
      <c r="C8">
        <v>41738</v>
      </c>
      <c r="D8" t="s">
        <v>399</v>
      </c>
      <c r="E8" t="s">
        <v>5</v>
      </c>
      <c r="F8" t="s">
        <v>6</v>
      </c>
      <c r="G8" t="s">
        <v>10</v>
      </c>
      <c r="H8" t="s">
        <v>21</v>
      </c>
      <c r="I8">
        <v>27.93</v>
      </c>
      <c r="J8">
        <v>3</v>
      </c>
      <c r="K8">
        <v>0</v>
      </c>
      <c r="L8">
        <v>-8.0997000000000003</v>
      </c>
      <c r="M8" t="s">
        <v>4</v>
      </c>
      <c r="O8" s="60" t="str">
        <f t="shared" si="0"/>
        <v>LOSS</v>
      </c>
    </row>
    <row r="9" spans="1:19" x14ac:dyDescent="0.25">
      <c r="A9" t="s">
        <v>491</v>
      </c>
      <c r="B9" t="s">
        <v>492</v>
      </c>
      <c r="C9" t="s">
        <v>493</v>
      </c>
      <c r="D9" t="s">
        <v>103</v>
      </c>
      <c r="E9" t="s">
        <v>60</v>
      </c>
      <c r="F9" t="s">
        <v>61</v>
      </c>
      <c r="G9" t="s">
        <v>10</v>
      </c>
      <c r="H9" t="s">
        <v>3</v>
      </c>
      <c r="I9">
        <v>1888.7</v>
      </c>
      <c r="J9">
        <v>5</v>
      </c>
      <c r="K9">
        <v>0</v>
      </c>
      <c r="L9">
        <v>887.6</v>
      </c>
      <c r="M9" t="s">
        <v>8</v>
      </c>
      <c r="O9" s="60" t="str">
        <f t="shared" si="0"/>
        <v>PROFIT</v>
      </c>
    </row>
    <row r="10" spans="1:19" x14ac:dyDescent="0.25">
      <c r="A10" t="s">
        <v>494</v>
      </c>
      <c r="B10">
        <v>41680</v>
      </c>
      <c r="C10">
        <v>41739</v>
      </c>
      <c r="D10" t="s">
        <v>152</v>
      </c>
      <c r="E10" t="s">
        <v>50</v>
      </c>
      <c r="F10" t="s">
        <v>51</v>
      </c>
      <c r="G10" t="s">
        <v>10</v>
      </c>
      <c r="H10" t="s">
        <v>48</v>
      </c>
      <c r="I10">
        <v>3000.78</v>
      </c>
      <c r="J10">
        <v>6</v>
      </c>
      <c r="K10">
        <v>0</v>
      </c>
      <c r="L10">
        <v>1080.18</v>
      </c>
      <c r="M10" t="s">
        <v>8</v>
      </c>
      <c r="O10" s="60" t="str">
        <f t="shared" si="0"/>
        <v>PROFIT</v>
      </c>
    </row>
    <row r="11" spans="1:19" x14ac:dyDescent="0.25">
      <c r="A11" t="s">
        <v>495</v>
      </c>
      <c r="B11">
        <v>41974</v>
      </c>
      <c r="C11" t="s">
        <v>496</v>
      </c>
      <c r="E11" t="s">
        <v>66</v>
      </c>
      <c r="F11" t="s">
        <v>67</v>
      </c>
      <c r="G11" t="s">
        <v>10</v>
      </c>
      <c r="H11" t="s">
        <v>24</v>
      </c>
      <c r="I11">
        <v>3801.63</v>
      </c>
      <c r="J11">
        <v>7</v>
      </c>
      <c r="K11">
        <v>0</v>
      </c>
      <c r="L11">
        <v>1444.59</v>
      </c>
      <c r="M11" t="s">
        <v>4</v>
      </c>
      <c r="O11" s="60" t="str">
        <f t="shared" si="0"/>
        <v>PROFIT</v>
      </c>
    </row>
    <row r="12" spans="1:19" x14ac:dyDescent="0.25">
      <c r="A12" t="s">
        <v>497</v>
      </c>
      <c r="B12" t="s">
        <v>498</v>
      </c>
      <c r="C12" t="s">
        <v>499</v>
      </c>
      <c r="D12" t="s">
        <v>500</v>
      </c>
      <c r="E12" t="s">
        <v>59</v>
      </c>
      <c r="F12" t="s">
        <v>30</v>
      </c>
      <c r="G12" t="s">
        <v>2</v>
      </c>
      <c r="H12" t="s">
        <v>24</v>
      </c>
      <c r="I12">
        <v>5211.12</v>
      </c>
      <c r="J12">
        <v>8</v>
      </c>
      <c r="K12">
        <v>0</v>
      </c>
      <c r="L12">
        <v>1146.24</v>
      </c>
      <c r="M12" t="s">
        <v>4</v>
      </c>
      <c r="O12" s="60" t="str">
        <f t="shared" si="0"/>
        <v>PROFIT</v>
      </c>
    </row>
    <row r="13" spans="1:19" x14ac:dyDescent="0.25">
      <c r="A13" t="s">
        <v>216</v>
      </c>
      <c r="B13" t="s">
        <v>217</v>
      </c>
      <c r="C13" t="s">
        <v>46</v>
      </c>
      <c r="D13" t="s">
        <v>68</v>
      </c>
      <c r="E13" t="s">
        <v>218</v>
      </c>
      <c r="F13" t="s">
        <v>51</v>
      </c>
      <c r="H13" t="s">
        <v>24</v>
      </c>
      <c r="I13">
        <v>1356.03</v>
      </c>
      <c r="J13">
        <v>3</v>
      </c>
      <c r="K13">
        <v>0</v>
      </c>
      <c r="L13">
        <v>311.85000000000002</v>
      </c>
      <c r="M13" t="s">
        <v>27</v>
      </c>
      <c r="O13" s="60" t="str">
        <f t="shared" si="0"/>
        <v>PROFIT</v>
      </c>
    </row>
    <row r="14" spans="1:19" x14ac:dyDescent="0.25">
      <c r="A14" t="s">
        <v>181</v>
      </c>
      <c r="B14">
        <v>41954</v>
      </c>
      <c r="C14" t="s">
        <v>182</v>
      </c>
      <c r="D14" t="s">
        <v>183</v>
      </c>
      <c r="E14" t="s">
        <v>5</v>
      </c>
      <c r="F14" t="s">
        <v>52</v>
      </c>
      <c r="G14" t="s">
        <v>14</v>
      </c>
      <c r="H14" t="s">
        <v>18</v>
      </c>
      <c r="I14">
        <v>341.96</v>
      </c>
      <c r="J14">
        <v>2</v>
      </c>
      <c r="K14">
        <v>0</v>
      </c>
      <c r="L14">
        <v>54.7136</v>
      </c>
      <c r="M14" t="s">
        <v>8</v>
      </c>
      <c r="O14" s="60" t="str">
        <f t="shared" si="0"/>
        <v>PROFIT</v>
      </c>
    </row>
    <row r="15" spans="1:19" x14ac:dyDescent="0.25">
      <c r="A15" t="s">
        <v>184</v>
      </c>
      <c r="B15">
        <v>41063</v>
      </c>
      <c r="C15">
        <v>41093</v>
      </c>
      <c r="D15" t="s">
        <v>183</v>
      </c>
      <c r="E15" t="s">
        <v>5</v>
      </c>
      <c r="F15" t="s">
        <v>39</v>
      </c>
      <c r="G15" t="s">
        <v>14</v>
      </c>
      <c r="H15" t="s">
        <v>3</v>
      </c>
      <c r="I15">
        <v>48.712000000000003</v>
      </c>
      <c r="J15">
        <v>1</v>
      </c>
      <c r="L15">
        <v>5.4801000000000002</v>
      </c>
      <c r="M15" t="s">
        <v>8</v>
      </c>
      <c r="O15" s="60" t="str">
        <f t="shared" si="0"/>
        <v>PROFIT</v>
      </c>
    </row>
    <row r="16" spans="1:19" x14ac:dyDescent="0.25">
      <c r="A16" t="s">
        <v>184</v>
      </c>
      <c r="B16">
        <v>41063</v>
      </c>
      <c r="C16">
        <v>41093</v>
      </c>
      <c r="D16" t="s">
        <v>183</v>
      </c>
      <c r="F16" t="s">
        <v>39</v>
      </c>
      <c r="G16" t="s">
        <v>10</v>
      </c>
      <c r="H16" t="s">
        <v>7</v>
      </c>
      <c r="I16" t="s">
        <v>185</v>
      </c>
      <c r="J16">
        <v>3</v>
      </c>
      <c r="K16">
        <v>0</v>
      </c>
      <c r="L16">
        <v>26.647123529999998</v>
      </c>
      <c r="M16" t="s">
        <v>8</v>
      </c>
      <c r="O16" s="60" t="str">
        <f t="shared" si="0"/>
        <v>PROFIT</v>
      </c>
    </row>
    <row r="17" spans="1:15" x14ac:dyDescent="0.25">
      <c r="A17" t="s">
        <v>186</v>
      </c>
      <c r="B17" t="s">
        <v>187</v>
      </c>
      <c r="C17">
        <v>41386</v>
      </c>
      <c r="D17" t="s">
        <v>188</v>
      </c>
      <c r="E17" t="s">
        <v>189</v>
      </c>
      <c r="F17" t="s">
        <v>34</v>
      </c>
      <c r="G17" t="s">
        <v>14</v>
      </c>
      <c r="H17" t="s">
        <v>3</v>
      </c>
      <c r="I17">
        <v>4626.1499999999996</v>
      </c>
      <c r="J17">
        <v>5</v>
      </c>
      <c r="K17">
        <v>0</v>
      </c>
      <c r="M17" t="s">
        <v>8</v>
      </c>
      <c r="O17" s="60" t="str">
        <f t="shared" si="0"/>
        <v>LOSS</v>
      </c>
    </row>
    <row r="18" spans="1:15" x14ac:dyDescent="0.25">
      <c r="A18" t="s">
        <v>190</v>
      </c>
      <c r="B18" t="s">
        <v>96</v>
      </c>
      <c r="D18" t="s">
        <v>135</v>
      </c>
      <c r="E18" t="s">
        <v>59</v>
      </c>
      <c r="F18" t="s">
        <v>30</v>
      </c>
      <c r="G18" t="s">
        <v>2</v>
      </c>
      <c r="H18" t="s">
        <v>191</v>
      </c>
      <c r="I18">
        <v>2616.96</v>
      </c>
      <c r="J18">
        <v>4</v>
      </c>
      <c r="K18">
        <v>0</v>
      </c>
      <c r="L18">
        <v>1151.4000000000001</v>
      </c>
      <c r="M18" t="s">
        <v>27</v>
      </c>
      <c r="O18" s="60" t="str">
        <f t="shared" si="0"/>
        <v>PROFIT</v>
      </c>
    </row>
    <row r="19" spans="1:15" x14ac:dyDescent="0.25">
      <c r="A19" t="s">
        <v>192</v>
      </c>
      <c r="B19">
        <v>41796</v>
      </c>
      <c r="C19">
        <v>41857</v>
      </c>
      <c r="D19" t="s">
        <v>193</v>
      </c>
      <c r="E19" t="s">
        <v>50</v>
      </c>
      <c r="F19" t="s">
        <v>194</v>
      </c>
      <c r="G19" t="s">
        <v>10</v>
      </c>
      <c r="H19" t="s">
        <v>31</v>
      </c>
      <c r="I19">
        <v>3701.52</v>
      </c>
      <c r="J19">
        <v>12</v>
      </c>
      <c r="K19">
        <v>0</v>
      </c>
      <c r="L19">
        <v>1036.08</v>
      </c>
      <c r="M19" t="s">
        <v>27</v>
      </c>
      <c r="O19" s="60" t="str">
        <f t="shared" si="0"/>
        <v>PROFIT</v>
      </c>
    </row>
    <row r="20" spans="1:15" x14ac:dyDescent="0.25">
      <c r="A20" t="s">
        <v>195</v>
      </c>
      <c r="B20" t="s">
        <v>196</v>
      </c>
      <c r="C20">
        <v>42071</v>
      </c>
      <c r="D20" t="s">
        <v>197</v>
      </c>
      <c r="E20" t="s">
        <v>12</v>
      </c>
      <c r="F20" t="s">
        <v>13</v>
      </c>
      <c r="G20" t="s">
        <v>10</v>
      </c>
      <c r="H20" t="s">
        <v>18</v>
      </c>
      <c r="I20">
        <v>1869.588</v>
      </c>
      <c r="J20">
        <v>4</v>
      </c>
      <c r="K20">
        <v>0.1</v>
      </c>
      <c r="M20" t="s">
        <v>27</v>
      </c>
      <c r="O20" s="60" t="str">
        <f t="shared" si="0"/>
        <v>LOSS</v>
      </c>
    </row>
    <row r="21" spans="1:15" x14ac:dyDescent="0.25">
      <c r="A21" t="s">
        <v>198</v>
      </c>
      <c r="B21" t="s">
        <v>199</v>
      </c>
      <c r="C21" t="s">
        <v>140</v>
      </c>
      <c r="D21" t="s">
        <v>183</v>
      </c>
      <c r="E21" t="s">
        <v>5</v>
      </c>
      <c r="F21" t="s">
        <v>52</v>
      </c>
      <c r="G21" t="s">
        <v>10</v>
      </c>
      <c r="H21" t="s">
        <v>24</v>
      </c>
      <c r="I21">
        <v>12.624000000000001</v>
      </c>
      <c r="J21">
        <v>2</v>
      </c>
      <c r="K21">
        <v>0.2</v>
      </c>
      <c r="L21">
        <v>-2.5247999999999999</v>
      </c>
      <c r="M21" t="s">
        <v>25</v>
      </c>
      <c r="O21" s="60" t="str">
        <f t="shared" si="0"/>
        <v>LOSS</v>
      </c>
    </row>
    <row r="23" spans="1:15" ht="60" x14ac:dyDescent="0.25">
      <c r="O23" s="61" t="s">
        <v>651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E14-9A82-4C9C-ABB4-313E7BE3D036}">
  <dimension ref="A1"/>
  <sheetViews>
    <sheetView workbookViewId="0">
      <selection activeCell="K13" sqref="K13"/>
    </sheetView>
  </sheetViews>
  <sheetFormatPr defaultRowHeight="15" x14ac:dyDescent="0.25"/>
  <cols>
    <col min="1" max="1" width="17.28515625" bestFit="1" customWidth="1"/>
    <col min="2" max="2" width="12.85546875" bestFit="1" customWidth="1"/>
    <col min="3" max="3" width="16" bestFit="1" customWidth="1"/>
    <col min="4" max="4" width="14.5703125" bestFit="1" customWidth="1"/>
    <col min="5" max="5" width="10.7109375" bestFit="1" customWidth="1"/>
    <col min="6" max="6" width="9" bestFit="1" customWidth="1"/>
    <col min="7" max="7" width="8.140625" bestFit="1" customWidth="1"/>
    <col min="8" max="8" width="8.7109375" bestFit="1" customWidth="1"/>
    <col min="9" max="9" width="12" bestFit="1" customWidth="1"/>
    <col min="10" max="10" width="8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SIRAGIRI VELAN</dc:creator>
  <cp:lastModifiedBy>SIRAGIRI VELAN</cp:lastModifiedBy>
  <cp:lastPrinted>2025-12-19T05:24:26Z</cp:lastPrinted>
  <dcterms:created xsi:type="dcterms:W3CDTF">2025-12-19T04:34:20Z</dcterms:created>
  <dcterms:modified xsi:type="dcterms:W3CDTF">2025-12-24T06:38:33Z</dcterms:modified>
</cp:coreProperties>
</file>